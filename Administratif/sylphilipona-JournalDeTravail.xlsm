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1-TPI\"/>
    </mc:Choice>
  </mc:AlternateContent>
  <xr:revisionPtr revIDLastSave="0" documentId="13_ncr:1_{7E25CD20-A143-4A07-ABF7-40882B8496E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C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D52" i="1"/>
  <c r="D54" i="1"/>
  <c r="D55" i="1"/>
  <c r="D51" i="1"/>
  <c r="D31" i="1"/>
  <c r="D41" i="1"/>
  <c r="D67" i="1"/>
  <c r="D37" i="1"/>
  <c r="D92" i="1"/>
  <c r="D90" i="1"/>
  <c r="D21" i="1"/>
  <c r="D19" i="1"/>
  <c r="D32" i="1"/>
  <c r="D49" i="1"/>
  <c r="D16" i="1"/>
  <c r="D26" i="1"/>
  <c r="D93" i="1"/>
  <c r="D71" i="1"/>
  <c r="D66" i="1"/>
  <c r="D40" i="1"/>
  <c r="D25" i="1"/>
  <c r="D42" i="1"/>
  <c r="D79" i="1"/>
  <c r="D82" i="1"/>
  <c r="D47" i="1"/>
  <c r="D75" i="1"/>
  <c r="D89" i="1"/>
  <c r="D20" i="1"/>
  <c r="D69" i="1"/>
  <c r="D38" i="1"/>
  <c r="D76" i="1"/>
  <c r="D73" i="1"/>
  <c r="D88" i="1"/>
  <c r="D60" i="1"/>
  <c r="D57" i="1"/>
  <c r="D33" i="1"/>
  <c r="D70" i="1"/>
  <c r="D61" i="1"/>
  <c r="D29" i="1"/>
  <c r="C11" i="16"/>
  <c r="D36" i="1"/>
  <c r="D43" i="1"/>
  <c r="D35" i="1"/>
  <c r="D27" i="1"/>
  <c r="D78" i="1"/>
  <c r="D50" i="1"/>
  <c r="D68" i="1"/>
  <c r="D81" i="1"/>
  <c r="D63" i="1"/>
  <c r="D84" i="1"/>
  <c r="D80" i="1"/>
  <c r="D34" i="1"/>
  <c r="D56" i="1"/>
  <c r="D94" i="1"/>
  <c r="D28" i="1"/>
  <c r="D87" i="1"/>
  <c r="D23" i="1"/>
  <c r="D72" i="1"/>
  <c r="D59" i="1"/>
  <c r="C12" i="10"/>
  <c r="D30" i="1"/>
  <c r="D17" i="1"/>
  <c r="D74" i="1"/>
  <c r="D44" i="1"/>
  <c r="D86" i="1"/>
  <c r="D85" i="1"/>
  <c r="D58" i="1"/>
  <c r="D53" i="1"/>
  <c r="D64" i="1"/>
  <c r="D46" i="1"/>
  <c r="D91" i="1"/>
  <c r="D24" i="1"/>
  <c r="D18" i="1"/>
  <c r="D22" i="1"/>
  <c r="D45" i="1"/>
  <c r="D77" i="1"/>
  <c r="D83" i="1"/>
  <c r="D65" i="1"/>
  <c r="D39" i="1"/>
  <c r="D15" i="1"/>
  <c r="D48" i="1"/>
  <c r="D62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<sst xmlns="http://schemas.openxmlformats.org/spreadsheetml/2006/main" count="176" uniqueCount="50">
  <si>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</si>
  <si>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</si>
  <si>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</si>
  <si>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</si>
  <si>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</si>
  <si>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</si>
  <si>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</si>
  <si>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</si>
  <si>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</si>
  <si>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</si>
  <si>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</si>
  <si>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</si>
  <si>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</si>
  <si>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</si>
  <si>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</si>
  <si>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</si>
  <si>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</si>
  <si>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</si>
  <si>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</si>
  <si>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</si>
  <si>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</si>
  <si>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</si>
  <si>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</si>
  <si>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</si>
  <si>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</si>
  <si>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</si>
  <si>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</si>
  <si>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</si>
  <si>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</si>
  <si>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</si>
  <si>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</si>
  <si>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</si>
  <si>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</si>
  <si>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</si>
  <si>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</si>
  <si>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</si>
  <si>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</si>
  <si>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</si>
  <si>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</si>
  <si>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</si>
  <si>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</si>
  <si>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</si>
  <si>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</si>
  <si>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</si>
  <si>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</si>
  <si>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TPI</t>
  </si>
  <si>
    <t>Sylvain Philipona</t>
  </si>
  <si>
    <t>CIN4B</t>
  </si>
  <si>
    <t>ETML - EPV</t>
  </si>
  <si>
    <t>Du 08.05.2023 au 09.06.2023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</si>
</sst>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9633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33</v>
      </c>
      <c r="C35" s="166"/>
      <c r="D35" s="166"/>
      <c r="E35" s="107" t="s">
        <v>42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34</v>
      </c>
      <c r="C37" s="167"/>
      <c r="D37" s="167"/>
      <c r="E37" s="109" t="s">
        <v>42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40" t="s">
        <v>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E9" sqref="E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30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45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46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47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48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49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17</v>
      </c>
      <c r="D9" s="142"/>
      <c r="E9" s="13" t="s">
        <v>21</v>
      </c>
      <c r="F9" s="14"/>
      <c r="G9" s="190" t="str">
        <f>E96</f>
        <v>0h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19"/>
      <c r="W9" s="189" t="s">
        <v>22</v>
      </c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90" t="str">
        <f>E98</f>
        <v>0h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1"/>
      <c r="BO10" s="191"/>
      <c r="BP10" s="191"/>
      <c r="BQ10" s="191"/>
      <c r="BR10" s="191"/>
      <c r="BS10" s="191"/>
      <c r="BT10" s="191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191"/>
      <c r="CO10" s="191"/>
      <c r="CP10" s="191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90"/>
    </row>
    <row r="11" spans="1:186" ht="20.100000000000001" customHeight="1" x14ac:dyDescent="0.25">
      <c r="B11" s="96"/>
      <c r="C11" s="196"/>
      <c r="D11" s="196"/>
      <c r="E11" s="196"/>
      <c r="F11" s="188" t="s">
        <v>43</v>
      </c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 t="s">
        <v>43</v>
      </c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5" t="s">
        <v>43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97"/>
      <c r="D12" s="197"/>
      <c r="E12" s="197"/>
      <c r="F12" s="187" t="s">
        <v>44</v>
      </c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 t="s">
        <v>44</v>
      </c>
      <c r="BO12" s="187"/>
      <c r="BP12" s="187"/>
      <c r="BQ12" s="187"/>
      <c r="BR12" s="187"/>
      <c r="BS12" s="187"/>
      <c r="BT12" s="187"/>
      <c r="BU12" s="187"/>
      <c r="BV12" s="187"/>
      <c r="BW12" s="187"/>
      <c r="BX12" s="187"/>
      <c r="BY12" s="187"/>
      <c r="BZ12" s="187"/>
      <c r="CA12" s="187"/>
      <c r="CB12" s="187"/>
      <c r="CC12" s="187"/>
      <c r="CD12" s="187"/>
      <c r="CE12" s="187"/>
      <c r="CF12" s="187"/>
      <c r="CG12" s="187"/>
      <c r="CH12" s="187"/>
      <c r="CI12" s="187"/>
      <c r="CJ12" s="187"/>
      <c r="CK12" s="187"/>
      <c r="CL12" s="187"/>
      <c r="CM12" s="187"/>
      <c r="CN12" s="187"/>
      <c r="CO12" s="187"/>
      <c r="CP12" s="187"/>
      <c r="CQ12" s="187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7"/>
      <c r="DK12" s="187"/>
      <c r="DL12" s="187"/>
      <c r="DM12" s="187"/>
      <c r="DN12" s="187"/>
      <c r="DO12" s="187"/>
      <c r="DP12" s="187"/>
      <c r="DQ12" s="187"/>
      <c r="DR12" s="187"/>
      <c r="DS12" s="187"/>
      <c r="DT12" s="187"/>
      <c r="DU12" s="187"/>
      <c r="DV12" s="186" t="s">
        <v>44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92" t="s">
        <v>7</v>
      </c>
      <c r="D13" s="145"/>
      <c r="E13" s="194" t="s">
        <v>40</v>
      </c>
      <c r="F13" s="168" t="s">
        <v>8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27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18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1" t="s">
        <v>35</v>
      </c>
      <c r="K14" s="171"/>
      <c r="L14" s="171"/>
      <c r="M14" s="171"/>
      <c r="N14" s="104"/>
      <c r="O14" s="104"/>
      <c r="P14" s="172" t="s">
        <v>23</v>
      </c>
      <c r="Q14" s="172"/>
      <c r="R14" s="172"/>
      <c r="S14" s="172"/>
      <c r="T14" s="129"/>
      <c r="U14" s="129"/>
      <c r="V14" s="171" t="s">
        <v>36</v>
      </c>
      <c r="W14" s="171"/>
      <c r="X14" s="171"/>
      <c r="Y14" s="171"/>
      <c r="Z14" s="104"/>
      <c r="AA14" s="104"/>
      <c r="AB14" s="172" t="s">
        <v>24</v>
      </c>
      <c r="AC14" s="172"/>
      <c r="AD14" s="172"/>
      <c r="AE14" s="172"/>
      <c r="AF14" s="129"/>
      <c r="AG14" s="129"/>
      <c r="AH14" s="171" t="s">
        <v>37</v>
      </c>
      <c r="AI14" s="171"/>
      <c r="AJ14" s="171"/>
      <c r="AK14" s="171"/>
      <c r="AL14" s="104"/>
      <c r="AM14" s="104"/>
      <c r="AN14" s="172" t="s">
        <v>25</v>
      </c>
      <c r="AO14" s="172"/>
      <c r="AP14" s="172"/>
      <c r="AQ14" s="172"/>
      <c r="AR14" s="129"/>
      <c r="AS14" s="129"/>
      <c r="AT14" s="171" t="s">
        <v>38</v>
      </c>
      <c r="AU14" s="171"/>
      <c r="AV14" s="171"/>
      <c r="AW14" s="171"/>
      <c r="AX14" s="104"/>
      <c r="AY14" s="104"/>
      <c r="AZ14" s="172" t="s">
        <v>26</v>
      </c>
      <c r="BA14" s="172"/>
      <c r="BB14" s="172"/>
      <c r="BC14" s="172"/>
      <c r="BD14" s="129"/>
      <c r="BE14" s="129"/>
      <c r="BF14" s="171" t="s">
        <v>39</v>
      </c>
      <c r="BG14" s="171"/>
      <c r="BH14" s="171"/>
      <c r="BI14" s="171"/>
      <c r="BJ14" s="104"/>
      <c r="BK14" s="104"/>
      <c r="BL14" s="104"/>
      <c r="BM14" s="105"/>
      <c r="BN14" s="103"/>
      <c r="BO14" s="104"/>
      <c r="BP14" s="104"/>
      <c r="BQ14" s="104"/>
      <c r="BR14" s="171" t="s">
        <v>35</v>
      </c>
      <c r="BS14" s="171"/>
      <c r="BT14" s="171"/>
      <c r="BU14" s="171"/>
      <c r="BV14" s="104"/>
      <c r="BW14" s="104"/>
      <c r="BX14" s="172" t="s">
        <v>23</v>
      </c>
      <c r="BY14" s="172"/>
      <c r="BZ14" s="172"/>
      <c r="CA14" s="172"/>
      <c r="CB14" s="129"/>
      <c r="CC14" s="129"/>
      <c r="CD14" s="171" t="s">
        <v>36</v>
      </c>
      <c r="CE14" s="171"/>
      <c r="CF14" s="171"/>
      <c r="CG14" s="171"/>
      <c r="CH14" s="104"/>
      <c r="CI14" s="104"/>
      <c r="CJ14" s="172" t="s">
        <v>24</v>
      </c>
      <c r="CK14" s="172"/>
      <c r="CL14" s="172"/>
      <c r="CM14" s="172"/>
      <c r="CN14" s="129"/>
      <c r="CO14" s="129"/>
      <c r="CP14" s="171" t="s">
        <v>37</v>
      </c>
      <c r="CQ14" s="171"/>
      <c r="CR14" s="171"/>
      <c r="CS14" s="171"/>
      <c r="CT14" s="104"/>
      <c r="CU14" s="104"/>
      <c r="CV14" s="172" t="s">
        <v>25</v>
      </c>
      <c r="CW14" s="172"/>
      <c r="CX14" s="172"/>
      <c r="CY14" s="172"/>
      <c r="CZ14" s="129"/>
      <c r="DA14" s="129"/>
      <c r="DB14" s="171" t="s">
        <v>38</v>
      </c>
      <c r="DC14" s="171"/>
      <c r="DD14" s="171"/>
      <c r="DE14" s="171"/>
      <c r="DF14" s="104"/>
      <c r="DG14" s="104"/>
      <c r="DH14" s="172" t="s">
        <v>26</v>
      </c>
      <c r="DI14" s="172"/>
      <c r="DJ14" s="172"/>
      <c r="DK14" s="172"/>
      <c r="DL14" s="129"/>
      <c r="DM14" s="129"/>
      <c r="DN14" s="171" t="s">
        <v>39</v>
      </c>
      <c r="DO14" s="171"/>
      <c r="DP14" s="171"/>
      <c r="DQ14" s="171"/>
      <c r="DR14" s="104"/>
      <c r="DS14" s="104"/>
      <c r="DT14" s="104"/>
      <c r="DU14" s="105"/>
      <c r="DV14" s="103"/>
      <c r="DW14" s="104"/>
      <c r="DX14" s="104"/>
      <c r="DY14" s="104"/>
      <c r="DZ14" s="171" t="s">
        <v>35</v>
      </c>
      <c r="EA14" s="171"/>
      <c r="EB14" s="171"/>
      <c r="EC14" s="171"/>
      <c r="ED14" s="104"/>
      <c r="EE14" s="104"/>
      <c r="EF14" s="172" t="s">
        <v>23</v>
      </c>
      <c r="EG14" s="172"/>
      <c r="EH14" s="172"/>
      <c r="EI14" s="172"/>
      <c r="EJ14" s="129"/>
      <c r="EK14" s="129"/>
      <c r="EL14" s="171" t="s">
        <v>36</v>
      </c>
      <c r="EM14" s="171"/>
      <c r="EN14" s="171"/>
      <c r="EO14" s="171"/>
      <c r="EP14" s="104"/>
      <c r="EQ14" s="104"/>
      <c r="ER14" s="172" t="s">
        <v>24</v>
      </c>
      <c r="ES14" s="172"/>
      <c r="ET14" s="172"/>
      <c r="EU14" s="172"/>
      <c r="EV14" s="129"/>
      <c r="EW14" s="129"/>
      <c r="EX14" s="171" t="s">
        <v>37</v>
      </c>
      <c r="EY14" s="171"/>
      <c r="EZ14" s="171"/>
      <c r="FA14" s="171"/>
      <c r="FB14" s="104"/>
      <c r="FC14" s="104"/>
      <c r="FD14" s="172" t="s">
        <v>25</v>
      </c>
      <c r="FE14" s="172"/>
      <c r="FF14" s="172"/>
      <c r="FG14" s="172"/>
      <c r="FH14" s="129"/>
      <c r="FI14" s="129"/>
      <c r="FJ14" s="171" t="s">
        <v>38</v>
      </c>
      <c r="FK14" s="171"/>
      <c r="FL14" s="171"/>
      <c r="FM14" s="171"/>
      <c r="FN14" s="104"/>
      <c r="FO14" s="104"/>
      <c r="FP14" s="172" t="s">
        <v>26</v>
      </c>
      <c r="FQ14" s="172"/>
      <c r="FR14" s="172"/>
      <c r="FS14" s="172"/>
      <c r="FT14" s="129"/>
      <c r="FU14" s="129"/>
      <c r="FV14" s="171" t="s">
        <v>39</v>
      </c>
      <c r="FW14" s="171"/>
      <c r="FX14" s="171"/>
      <c r="FY14" s="171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77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20</v>
      </c>
      <c r="B16" s="63" t="str">
        <f>IF(LEN(C17)=0,"",C17)</f>
        <v>Analyse - Planification initiale</v>
      </c>
      <c r="C16" s="178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19</v>
      </c>
      <c r="B17" s="63" t="str">
        <f>IF(LEN(C19)=0,"",C19)</f>
        <v>Réalisation - Interfaces</v>
      </c>
      <c r="C17" s="177" t="s">
        <v>31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20</v>
      </c>
      <c r="B18" s="63" t="str">
        <f>IF(LEN(C21)=0,"",C21)</f>
        <v>Doc - Journal de travail</v>
      </c>
      <c r="C18" s="178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19</v>
      </c>
      <c r="B19" s="63" t="str">
        <f>IF(LEN(C23)=0,"",C23)</f>
        <v>Doc - Rapport</v>
      </c>
      <c r="C19" s="177" t="s">
        <v>32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20</v>
      </c>
      <c r="B20" s="63" t="str">
        <f>IF(LEN(C25)=0,"",C25)</f>
        <v/>
      </c>
      <c r="C20" s="179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19</v>
      </c>
      <c r="B21" s="63" t="str">
        <f>IF(LEN(C27)=0,"",C27)</f>
        <v/>
      </c>
      <c r="C21" s="177" t="s">
        <v>16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20</v>
      </c>
      <c r="B22" s="63" t="str">
        <f>IF(LEN(C29)=0,"",C29)</f>
        <v/>
      </c>
      <c r="C22" s="179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19</v>
      </c>
      <c r="B23" s="63" t="str">
        <f>IF(LEN(C31)=0,"",C31)</f>
        <v/>
      </c>
      <c r="C23" s="177" t="s">
        <v>15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20</v>
      </c>
      <c r="B24" s="63" t="str">
        <f>IF(LEN(C33)=0,"",C33)</f>
        <v/>
      </c>
      <c r="C24" s="179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19</v>
      </c>
      <c r="B25" s="63" t="str">
        <f>IF(LEN(C35)=0,"",C35)</f>
        <v/>
      </c>
      <c r="C25" s="177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20</v>
      </c>
      <c r="B26" s="63" t="str">
        <f>IF(LEN(C37)=0,"",C37)</f>
        <v/>
      </c>
      <c r="C26" s="178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19</v>
      </c>
      <c r="B27" s="63" t="str">
        <f>IF(LEN(C39)=0,"",C39)</f>
        <v/>
      </c>
      <c r="C27" s="177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20</v>
      </c>
      <c r="B28" s="63" t="str">
        <f>IF(LEN(C41)=0,"",C41)</f>
        <v/>
      </c>
      <c r="C28" s="178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19</v>
      </c>
      <c r="B29" s="63" t="str">
        <f>IF(LEN(C43)=0,"",C43)</f>
        <v/>
      </c>
      <c r="C29" s="177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20</v>
      </c>
      <c r="B30" s="63" t="str">
        <f>IF(LEN(C45)=0,"",C45)</f>
        <v/>
      </c>
      <c r="C30" s="178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19</v>
      </c>
      <c r="B31" s="63" t="str">
        <f>IF(LEN(C47)=0,"",C47)</f>
        <v/>
      </c>
      <c r="C31" s="177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20</v>
      </c>
      <c r="B32" s="63" t="str">
        <f>IF(LEN(C49)=0,"",C49)</f>
        <v/>
      </c>
      <c r="C32" s="178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19</v>
      </c>
      <c r="B33" s="63" t="str">
        <f>IF(LEN(C51)=0,"",C51)</f>
        <v/>
      </c>
      <c r="C33" s="177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20</v>
      </c>
      <c r="B34" s="63" t="str">
        <f>IF(LEN(C53)=0,"",C53)</f>
        <v/>
      </c>
      <c r="C34" s="178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19</v>
      </c>
      <c r="B35" s="63" t="str">
        <f>IF(LEN(C55)=0,"",C55)</f>
        <v/>
      </c>
      <c r="C35" s="177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20</v>
      </c>
      <c r="B36" s="63" t="str">
        <f>IF(LEN(C57)=0,"",C57)</f>
        <v/>
      </c>
      <c r="C36" s="179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19</v>
      </c>
      <c r="B37" s="63" t="str">
        <f>IF(LEN(C59)=0,"",C59)</f>
        <v/>
      </c>
      <c r="C37" s="177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20</v>
      </c>
      <c r="B38" s="63" t="str">
        <f>IF(LEN(C61)=0,"",C61)</f>
        <v/>
      </c>
      <c r="C38" s="178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19</v>
      </c>
      <c r="B39" s="63" t="str">
        <f>IF(LEN(C63)=0,"",C63)</f>
        <v/>
      </c>
      <c r="C39" s="177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20</v>
      </c>
      <c r="B40" s="63" t="str">
        <f>IF(LEN(C65)=0,"",C65)</f>
        <v/>
      </c>
      <c r="C40" s="179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19</v>
      </c>
      <c r="B41" s="63" t="str">
        <f>IF(LEN(C67)=0,"",C67)</f>
        <v/>
      </c>
      <c r="C41" s="177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20</v>
      </c>
      <c r="B42" s="63" t="str">
        <f>IF(LEN(C69)=0,"",C69)</f>
        <v/>
      </c>
      <c r="C42" s="178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19</v>
      </c>
      <c r="B43" s="63" t="str">
        <f>IF(LEN(C71)=0,"",C71)</f>
        <v/>
      </c>
      <c r="C43" s="177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20</v>
      </c>
      <c r="B44" s="63" t="str">
        <f>IF(LEN(C73)=0,"",C73)</f>
        <v/>
      </c>
      <c r="C44" s="178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19</v>
      </c>
      <c r="B45" s="63" t="str">
        <f>IF(LEN(C75)=0,"",C75)</f>
        <v/>
      </c>
      <c r="C45" s="177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20</v>
      </c>
      <c r="B46" s="63" t="str">
        <f>IF(LEN(C77)=0,"",C77)</f>
        <v/>
      </c>
      <c r="C46" s="179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19</v>
      </c>
      <c r="B47" s="63" t="str">
        <f>IF(LEN(C79)=0,"",C79)</f>
        <v/>
      </c>
      <c r="C47" s="177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20</v>
      </c>
      <c r="B48" s="63" t="str">
        <f>IF(LEN(C81)=0,"",C81)</f>
        <v/>
      </c>
      <c r="C48" s="178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19</v>
      </c>
      <c r="B49" s="63" t="str">
        <f>IF(LEN(C83)=0,"",C83)</f>
        <v/>
      </c>
      <c r="C49" s="177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20</v>
      </c>
      <c r="B50" s="63" t="str">
        <f>IF(LEN(C85)=0,"",C85)</f>
        <v/>
      </c>
      <c r="C50" s="178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19</v>
      </c>
      <c r="B51" s="63" t="str">
        <f>IF(LEN(C87)=0,"",C87)</f>
        <v/>
      </c>
      <c r="C51" s="177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20</v>
      </c>
      <c r="B52" s="63" t="str">
        <f>IF(LEN(C89)=0,"",C89)</f>
        <v/>
      </c>
      <c r="C52" s="179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19</v>
      </c>
      <c r="B53" s="63" t="str">
        <f>IF(LEN(C91)=0,"",C91)</f>
        <v/>
      </c>
      <c r="C53" s="177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20</v>
      </c>
      <c r="B54" s="63" t="str">
        <f>IF(LEN(C93)=0,"",C93)</f>
        <v/>
      </c>
      <c r="C54" s="178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19</v>
      </c>
      <c r="B55" s="63"/>
      <c r="C55" s="177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20</v>
      </c>
      <c r="B56" s="63"/>
      <c r="C56" s="179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19</v>
      </c>
      <c r="B57" s="63"/>
      <c r="C57" s="177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20</v>
      </c>
      <c r="B58" s="63"/>
      <c r="C58" s="178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19</v>
      </c>
      <c r="B59" s="63"/>
      <c r="C59" s="177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20</v>
      </c>
      <c r="B60" s="63"/>
      <c r="C60" s="178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19</v>
      </c>
      <c r="B61" s="63"/>
      <c r="C61" s="177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20</v>
      </c>
      <c r="B62" s="63"/>
      <c r="C62" s="179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19</v>
      </c>
      <c r="B63" s="63"/>
      <c r="C63" s="177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20</v>
      </c>
      <c r="B64" s="63"/>
      <c r="C64" s="178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19</v>
      </c>
      <c r="B65" s="63"/>
      <c r="C65" s="177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20</v>
      </c>
      <c r="B66" s="63"/>
      <c r="C66" s="178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19</v>
      </c>
      <c r="B67" s="63"/>
      <c r="C67" s="177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20</v>
      </c>
      <c r="B68" s="63"/>
      <c r="C68" s="179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19</v>
      </c>
      <c r="B69" s="63"/>
      <c r="C69" s="177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20</v>
      </c>
      <c r="B70" s="63"/>
      <c r="C70" s="178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19</v>
      </c>
      <c r="B71" s="63"/>
      <c r="C71" s="177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20</v>
      </c>
      <c r="B72" s="63"/>
      <c r="C72" s="179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19</v>
      </c>
      <c r="B73" s="63"/>
      <c r="C73" s="177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20</v>
      </c>
      <c r="B74" s="63"/>
      <c r="C74" s="178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19</v>
      </c>
      <c r="B75" s="63"/>
      <c r="C75" s="177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20</v>
      </c>
      <c r="B76" s="63"/>
      <c r="C76" s="178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19</v>
      </c>
      <c r="B77" s="63"/>
      <c r="C77" s="177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20</v>
      </c>
      <c r="B78" s="63"/>
      <c r="C78" s="179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19</v>
      </c>
      <c r="B79" s="63"/>
      <c r="C79" s="177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20</v>
      </c>
      <c r="B80" s="63"/>
      <c r="C80" s="178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19</v>
      </c>
      <c r="B81" s="63"/>
      <c r="C81" s="177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20</v>
      </c>
      <c r="B82" s="63"/>
      <c r="C82" s="178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19</v>
      </c>
      <c r="B83" s="63"/>
      <c r="C83" s="177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20</v>
      </c>
      <c r="B84" s="63"/>
      <c r="C84" s="179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19</v>
      </c>
      <c r="B85" s="63"/>
      <c r="C85" s="177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20</v>
      </c>
      <c r="B86" s="63"/>
      <c r="C86" s="178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19</v>
      </c>
      <c r="B87" s="63"/>
      <c r="C87" s="177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20</v>
      </c>
      <c r="B88" s="63"/>
      <c r="C88" s="179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19</v>
      </c>
      <c r="B89" s="63"/>
      <c r="C89" s="177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20</v>
      </c>
      <c r="B90" s="63"/>
      <c r="C90" s="178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19</v>
      </c>
      <c r="B91" s="63"/>
      <c r="C91" s="177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20</v>
      </c>
      <c r="B92" s="63"/>
      <c r="C92" s="178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19</v>
      </c>
      <c r="B93" s="63"/>
      <c r="C93" s="177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20</v>
      </c>
      <c r="B94" s="63"/>
      <c r="C94" s="179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9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0" t="s">
        <v>10</v>
      </c>
      <c r="D97" s="181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2"/>
      <c r="D98" s="183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6" sqref="E6:F6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9.5703125" style="125" bestFit="1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4">
        <v>1</v>
      </c>
      <c r="C2" s="164"/>
      <c r="D2" s="82" t="s">
        <v>14</v>
      </c>
      <c r="E2" s="94">
        <v>45049</v>
      </c>
      <c r="F2" s="126"/>
      <c r="G2" s="46"/>
    </row>
    <row r="3" spans="1:7" s="47" customFormat="1" ht="30" customHeight="1" thickBot="1" x14ac:dyDescent="0.3">
      <c r="A3" s="80" t="s">
        <v>5</v>
      </c>
      <c r="B3" s="151" t="s">
        <v>41</v>
      </c>
      <c r="C3" s="152"/>
      <c r="D3" s="80" t="s">
        <v>12</v>
      </c>
      <c r="E3" s="206" t="s">
        <v>13</v>
      </c>
      <c r="F3" s="207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11" t="s">
        <v>28</v>
      </c>
      <c r="B12" s="84">
        <f>SUM(B4:B11)</f>
        <v>0</v>
      </c>
      <c r="C12" s="111" t="str">
        <f xml:space="preserve"> setValueToTime(B12)</f>
        <v>0h</v>
      </c>
      <c r="D12" s="120"/>
      <c r="E12" s="204"/>
      <c r="F12" s="205"/>
      <c r="G12" s="51"/>
    </row>
    <row r="13" spans="1:7" s="59" customFormat="1" x14ac:dyDescent="0.3">
      <c r="A13" s="79"/>
      <c r="B13" s="79"/>
      <c r="C13" s="79"/>
      <c r="D13" s="79"/>
      <c r="E13" s="79"/>
      <c r="F13" s="79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" xr:uid="{D2D2A3CF-5C40-4473-A34D-82A72B8CEB00}">
      <formula1>0</formula1>
    </dataValidation>
    <dataValidation type="list" allowBlank="1" showInputMessage="1" showErrorMessage="1" sqref="A4:A11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68" t="s">
        <v>11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90"/>
    </row>
    <row r="14" spans="1:61" ht="15.75" thickBot="1" x14ac:dyDescent="0.35">
      <c r="A14" s="103"/>
      <c r="B14" s="104"/>
      <c r="C14" s="104"/>
      <c r="D14" s="104"/>
      <c r="E14" s="171" t="s">
        <v>35</v>
      </c>
      <c r="F14" s="171"/>
      <c r="G14" s="171"/>
      <c r="H14" s="171"/>
      <c r="I14" s="104"/>
      <c r="J14" s="104"/>
      <c r="K14" s="172" t="s">
        <v>23</v>
      </c>
      <c r="L14" s="172"/>
      <c r="M14" s="172"/>
      <c r="N14" s="172"/>
      <c r="O14" s="129"/>
      <c r="P14" s="129"/>
      <c r="Q14" s="171" t="s">
        <v>36</v>
      </c>
      <c r="R14" s="171"/>
      <c r="S14" s="171"/>
      <c r="T14" s="171"/>
      <c r="U14" s="104"/>
      <c r="V14" s="104"/>
      <c r="W14" s="172" t="s">
        <v>24</v>
      </c>
      <c r="X14" s="172"/>
      <c r="Y14" s="172"/>
      <c r="Z14" s="172"/>
      <c r="AA14" s="129"/>
      <c r="AB14" s="129"/>
      <c r="AC14" s="171" t="s">
        <v>37</v>
      </c>
      <c r="AD14" s="171"/>
      <c r="AE14" s="171"/>
      <c r="AF14" s="171"/>
      <c r="AG14" s="104"/>
      <c r="AH14" s="104"/>
      <c r="AI14" s="172" t="s">
        <v>25</v>
      </c>
      <c r="AJ14" s="172"/>
      <c r="AK14" s="172"/>
      <c r="AL14" s="172"/>
      <c r="AM14" s="129"/>
      <c r="AN14" s="129"/>
      <c r="AO14" s="171" t="s">
        <v>38</v>
      </c>
      <c r="AP14" s="171"/>
      <c r="AQ14" s="171"/>
      <c r="AR14" s="171"/>
      <c r="AS14" s="104"/>
      <c r="AT14" s="104"/>
      <c r="AU14" s="172" t="s">
        <v>26</v>
      </c>
      <c r="AV14" s="172"/>
      <c r="AW14" s="172"/>
      <c r="AX14" s="172"/>
      <c r="AY14" s="129"/>
      <c r="AZ14" s="129"/>
      <c r="BA14" s="171" t="s">
        <v>39</v>
      </c>
      <c r="BB14" s="171"/>
      <c r="BC14" s="171"/>
      <c r="BD14" s="17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41</v>
      </c>
      <c r="C2" s="152"/>
      <c r="D2" s="80" t="s">
        <v>12</v>
      </c>
      <c r="E2" s="206" t="s">
        <v>13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41</v>
      </c>
      <c r="C2" s="161"/>
      <c r="D2" s="78" t="s">
        <v>12</v>
      </c>
      <c r="E2" s="212" t="s">
        <v>13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28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2019-05-08T10:31:53Z</cp:lastPrinted>
  <dcterms:created xsi:type="dcterms:W3CDTF">1996-10-21T11:03:58Z</dcterms:created>
  <dcterms:modified xsi:type="dcterms:W3CDTF">2023-05-05T11:30:52Z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