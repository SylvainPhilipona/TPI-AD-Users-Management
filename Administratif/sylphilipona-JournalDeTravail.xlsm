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sylphilipona\GitHub\TPI-AD-Users-Management\Administratif\"/>
    </mc:Choice>
  </mc:AlternateContent>
  <xr:revisionPtr revIDLastSave="0" documentId="13_ncr:1_{E349DC8C-6B7C-4955-87CA-EC8B73D10F45}"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_xlnm.Print_Titles" localSheetId="1">Bilan!$C:$E</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Bilan!$C$11:$BHF$96</definedName>
    <definedName name="_xlnm.Print_Area" localSheetId="3">Journal!$A$2:$F$255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2" l="1"/>
  <c r="B12" i="12"/>
  <c r="B18" i="12"/>
  <c r="B42" i="12"/>
  <c r="C37" i="12"/>
  <c r="C27" i="12"/>
  <c r="C32" i="12"/>
  <c r="C23" i="12"/>
  <c r="C53" i="12"/>
  <c r="C68" i="12"/>
  <c r="C63" i="12"/>
  <c r="B58" i="12"/>
  <c r="C48" i="12"/>
  <c r="B73" i="12"/>
  <c r="C84" i="12"/>
  <c r="C89" i="12"/>
  <c r="C94" i="12"/>
  <c r="B99" i="12"/>
  <c r="C79" i="12"/>
  <c r="B105" i="12"/>
  <c r="B111" i="12"/>
  <c r="B124" i="12"/>
  <c r="C119" i="12"/>
  <c r="C117" i="12"/>
  <c r="B132" i="12"/>
  <c r="C129" i="12"/>
  <c r="C146" i="12"/>
  <c r="B140" i="12"/>
  <c r="C137" i="12"/>
  <c r="B150" i="12"/>
  <c r="B156" i="12"/>
  <c r="C162" i="12"/>
  <c r="B165" i="12"/>
  <c r="C175" i="12"/>
  <c r="C180" i="12"/>
  <c r="B181" i="12"/>
  <c r="C171" i="12"/>
  <c r="C187" i="12"/>
  <c r="C192" i="12"/>
  <c r="C197" i="12"/>
  <c r="B200" i="12"/>
  <c r="C206" i="12"/>
  <c r="C214" i="12"/>
  <c r="C211" i="12"/>
  <c r="B219" i="12"/>
  <c r="C230" i="12"/>
  <c r="B235" i="12"/>
  <c r="C162" i="10"/>
  <c r="C218" i="10"/>
  <c r="B242" i="12"/>
  <c r="C53" i="10"/>
  <c r="C58" i="10"/>
  <c r="C65" i="10"/>
  <c r="C77" i="10"/>
  <c r="C82" i="10"/>
  <c r="C93" i="10"/>
  <c r="B119" i="10"/>
  <c r="C201" i="10"/>
  <c r="C206" i="10"/>
  <c r="C233" i="10"/>
  <c r="C238" i="10"/>
  <c r="C249" i="10"/>
  <c r="B211" i="10"/>
  <c r="C182" i="10"/>
  <c r="C174" i="10"/>
  <c r="C170" i="10"/>
  <c r="B155" i="10"/>
  <c r="C114" i="10"/>
  <c r="B248" i="12"/>
  <c r="B254" i="12"/>
  <c r="B12" i="10"/>
  <c r="C11" i="10"/>
  <c r="C10" i="10"/>
  <c r="C9" i="10"/>
  <c r="C8" i="10"/>
  <c r="C7" i="10"/>
  <c r="C6" i="10"/>
  <c r="B18" i="10"/>
  <c r="B24" i="10"/>
  <c r="B30" i="10"/>
  <c r="B36" i="10"/>
  <c r="B43" i="10"/>
  <c r="B59" i="10"/>
  <c r="C48" i="10"/>
  <c r="B70" i="10"/>
  <c r="B83" i="10"/>
  <c r="B98" i="10"/>
  <c r="C88" i="10"/>
  <c r="B109" i="10"/>
  <c r="B135" i="10"/>
  <c r="C124" i="10"/>
  <c r="B142" i="10"/>
  <c r="B164" i="10"/>
  <c r="B177" i="10"/>
  <c r="B190" i="10"/>
  <c r="B196" i="10"/>
  <c r="B228" i="10"/>
  <c r="B243" i="10"/>
  <c r="B254" i="10"/>
  <c r="B261" i="10"/>
  <c r="B267" i="10"/>
  <c r="C187" i="10"/>
  <c r="C223" i="10"/>
  <c r="C129" i="10"/>
  <c r="C147" i="10"/>
  <c r="C5" i="10"/>
  <c r="C181" i="10"/>
  <c r="C35" i="10"/>
  <c r="C225" i="10"/>
  <c r="C190" i="10"/>
  <c r="C266" i="10"/>
  <c r="C258" i="10"/>
  <c r="C195" i="10"/>
  <c r="C115" i="10"/>
  <c r="C204" i="10"/>
  <c r="C185" i="10"/>
  <c r="C79" i="10"/>
  <c r="C126" i="10"/>
  <c r="C188" i="10"/>
  <c r="C148" i="10"/>
  <c r="C76" i="10"/>
  <c r="C140" i="10"/>
  <c r="C52" i="10"/>
  <c r="C205" i="10"/>
  <c r="C94" i="10"/>
  <c r="C259" i="10"/>
  <c r="C208" i="10"/>
  <c r="C47" i="10"/>
  <c r="C127" i="10"/>
  <c r="C232" i="10"/>
  <c r="C152" i="10"/>
  <c r="C75" i="10"/>
  <c r="C118" i="10"/>
  <c r="C194" i="10"/>
  <c r="C254" i="10"/>
  <c r="C81" i="10"/>
  <c r="C161" i="10"/>
  <c r="C217" i="10"/>
  <c r="C22" i="10"/>
  <c r="C36" i="10"/>
  <c r="C149" i="10"/>
  <c r="C56" i="10"/>
  <c r="C80" i="10"/>
  <c r="C211" i="10"/>
  <c r="C92" i="10"/>
  <c r="C151" i="10"/>
  <c r="C132" i="10"/>
  <c r="C267" i="10"/>
  <c r="C261" i="10"/>
  <c r="C91" i="10"/>
  <c r="C169" i="10"/>
  <c r="C139" i="10"/>
  <c r="C241" i="10"/>
  <c r="C186" i="10"/>
  <c r="C219" i="10"/>
  <c r="C253" i="10"/>
  <c r="C108" i="10"/>
  <c r="C63" i="10"/>
  <c r="C95" i="10"/>
  <c r="C57" i="10"/>
  <c r="C153" i="10"/>
  <c r="C83" i="10"/>
  <c r="C28" i="10"/>
  <c r="C133" i="10"/>
  <c r="C49" i="10"/>
  <c r="C252" i="10"/>
  <c r="C265" i="10"/>
  <c r="C209" i="10"/>
  <c r="C216" i="10"/>
  <c r="C236" i="10"/>
  <c r="C220" i="10"/>
  <c r="C50" i="10"/>
  <c r="C87" i="10"/>
  <c r="C96" i="10"/>
  <c r="C116" i="10"/>
  <c r="C119" i="10"/>
  <c r="C189" i="10"/>
  <c r="C155" i="10"/>
  <c r="C177" i="10"/>
  <c r="C66" i="10"/>
  <c r="C113" i="10"/>
  <c r="C16" i="10"/>
  <c r="C107" i="10"/>
  <c r="C24" i="10"/>
  <c r="C168" i="10"/>
  <c r="C135" i="10"/>
  <c r="C78" i="10"/>
  <c r="C12" i="10"/>
  <c r="C18" i="10"/>
  <c r="C200" i="10"/>
  <c r="C123" i="10"/>
  <c r="C203" i="10"/>
  <c r="C247" i="10"/>
  <c r="C54" i="10"/>
  <c r="C67" i="10"/>
  <c r="C106" i="10"/>
  <c r="C42" i="10"/>
  <c r="C105" i="10"/>
  <c r="C235" i="10"/>
  <c r="C159" i="10"/>
  <c r="C228" i="10"/>
  <c r="C131" i="10"/>
  <c r="C163" i="10"/>
  <c r="C164" i="10"/>
  <c r="C221" i="10"/>
  <c r="C142" i="10"/>
  <c r="C222" i="10"/>
  <c r="C243" i="10"/>
  <c r="C59" i="10"/>
  <c r="C234" i="10"/>
  <c r="C43" i="10"/>
  <c r="C224" i="10"/>
  <c r="C202" i="10"/>
  <c r="C98" i="10"/>
  <c r="C250" i="10"/>
  <c r="C30" i="10"/>
  <c r="C239" i="10"/>
  <c r="C171" i="10"/>
  <c r="C242" i="10"/>
  <c r="C125" i="10"/>
  <c r="C210" i="10"/>
  <c r="C175" i="10"/>
  <c r="C215" i="10"/>
  <c r="C4" i="10"/>
  <c r="C130" i="10"/>
  <c r="C69" i="10"/>
  <c r="C173" i="10"/>
  <c r="C41" i="10"/>
  <c r="C51" i="10"/>
  <c r="C226" i="10"/>
  <c r="C55" i="10"/>
  <c r="C227" i="10"/>
  <c r="C34" i="10"/>
  <c r="C23" i="10"/>
  <c r="C240" i="10"/>
  <c r="C97" i="10"/>
  <c r="C109" i="10"/>
  <c r="C102" i="10"/>
  <c r="C160" i="10"/>
  <c r="C184" i="10"/>
  <c r="C103" i="10"/>
  <c r="C70" i="10"/>
  <c r="C176" i="10"/>
  <c r="C146" i="10"/>
  <c r="C183" i="10"/>
  <c r="C196" i="10"/>
  <c r="C260" i="10"/>
  <c r="C141" i="10"/>
  <c r="C64" i="10"/>
  <c r="C29" i="10"/>
  <c r="C74" i="10"/>
  <c r="C154" i="10"/>
  <c r="C128" i="10"/>
  <c r="C248" i="10"/>
  <c r="C40" i="10"/>
  <c r="C90" i="10"/>
  <c r="C134" i="10"/>
  <c r="C251" i="10"/>
  <c r="C237" i="10"/>
  <c r="C172" i="10"/>
  <c r="C89" i="10"/>
  <c r="C68" i="10"/>
  <c r="C117" i="10"/>
  <c r="C207" i="10"/>
  <c r="C17" i="10"/>
  <c r="C118" i="12"/>
  <c r="C173" i="12"/>
  <c r="C174" i="12"/>
  <c r="C115" i="12"/>
  <c r="C67" i="12"/>
  <c r="C248" i="12"/>
  <c r="C92" i="12"/>
  <c r="C72" i="12"/>
  <c r="C189" i="12"/>
  <c r="C50" i="12"/>
  <c r="C95" i="12"/>
  <c r="C229" i="12"/>
  <c r="C193" i="12"/>
  <c r="C136" i="12"/>
  <c r="C208" i="12"/>
  <c r="C131" i="12"/>
  <c r="C52" i="12"/>
  <c r="C195" i="12"/>
  <c r="C164" i="12"/>
  <c r="C71" i="12"/>
  <c r="C46" i="12"/>
  <c r="C205" i="12"/>
  <c r="C210" i="12"/>
  <c r="C144" i="12"/>
  <c r="C226" i="12"/>
  <c r="C228" i="12"/>
  <c r="C234" i="12"/>
  <c r="C121" i="12"/>
  <c r="C185" i="12"/>
  <c r="C69" i="12"/>
  <c r="C62" i="12"/>
  <c r="C194" i="12"/>
  <c r="C170" i="12"/>
  <c r="C78" i="12"/>
  <c r="C38" i="12"/>
  <c r="C188" i="12"/>
  <c r="C172" i="12"/>
  <c r="C35" i="12"/>
  <c r="C82" i="12"/>
  <c r="C161" i="12"/>
  <c r="C51" i="12"/>
  <c r="C17" i="12"/>
  <c r="C110" i="12"/>
  <c r="C11" i="12"/>
  <c r="C85" i="12"/>
  <c r="C233" i="12"/>
  <c r="C163" i="12"/>
  <c r="C177" i="12"/>
  <c r="C140" i="12"/>
  <c r="C212" i="12"/>
  <c r="C31" i="12"/>
  <c r="C105" i="12"/>
  <c r="C254" i="12"/>
  <c r="C181" i="12"/>
  <c r="C216" i="12"/>
  <c r="C165" i="12"/>
  <c r="C148" i="12"/>
  <c r="C22" i="12"/>
  <c r="C217" i="12"/>
  <c r="C97" i="12"/>
  <c r="C240" i="12"/>
  <c r="C219" i="12"/>
  <c r="C241" i="12"/>
  <c r="C150" i="12"/>
  <c r="C231" i="12"/>
  <c r="C109" i="12"/>
  <c r="C122" i="12"/>
  <c r="C213" i="12"/>
  <c r="C223" i="12"/>
  <c r="C30" i="12"/>
  <c r="C235" i="12"/>
  <c r="C123" i="12"/>
  <c r="C239" i="12"/>
  <c r="C26" i="12"/>
  <c r="C242" i="12"/>
  <c r="C198" i="12"/>
  <c r="C88" i="12"/>
  <c r="C58" i="12"/>
  <c r="C16" i="12"/>
  <c r="C36" i="12"/>
  <c r="C29" i="12"/>
  <c r="C24" i="12"/>
  <c r="C186" i="12"/>
  <c r="C200" i="12"/>
  <c r="C116" i="12"/>
  <c r="C160" i="12"/>
  <c r="C33" i="12"/>
  <c r="C65" i="12"/>
  <c r="C73" i="12"/>
  <c r="C139" i="12"/>
  <c r="C169" i="12"/>
  <c r="C10" i="12"/>
  <c r="C227" i="12"/>
  <c r="C91" i="12"/>
  <c r="C39" i="12"/>
  <c r="C191" i="12"/>
  <c r="C64" i="12"/>
  <c r="C145" i="12"/>
  <c r="C86" i="12"/>
  <c r="C130" i="12"/>
  <c r="C77" i="12"/>
  <c r="C66" i="12"/>
  <c r="C49" i="12"/>
  <c r="C12" i="12"/>
  <c r="C199" i="12"/>
  <c r="C149" i="12"/>
  <c r="C83" i="12"/>
  <c r="C70" i="12"/>
  <c r="C98" i="12"/>
  <c r="C156" i="12"/>
  <c r="C42" i="12"/>
  <c r="C132" i="12"/>
  <c r="C215" i="12"/>
  <c r="C204" i="12"/>
  <c r="C128" i="12"/>
  <c r="C90" i="12"/>
  <c r="C103" i="12"/>
  <c r="C41" i="12"/>
  <c r="C224" i="12"/>
  <c r="C87" i="12"/>
  <c r="C209" i="12"/>
  <c r="C81" i="12"/>
  <c r="C155" i="12"/>
  <c r="C40" i="12"/>
  <c r="C80" i="12"/>
  <c r="C138" i="12"/>
  <c r="C207" i="12"/>
  <c r="C34" i="12"/>
  <c r="C104" i="12"/>
  <c r="C232" i="12"/>
  <c r="C179" i="12"/>
  <c r="C147" i="12"/>
  <c r="C178" i="12"/>
  <c r="C154" i="12"/>
  <c r="C18" i="12"/>
  <c r="C93" i="12"/>
  <c r="C99" i="12"/>
  <c r="C196" i="12"/>
  <c r="C176" i="12"/>
  <c r="C25" i="12"/>
  <c r="C96" i="12"/>
  <c r="C111" i="12"/>
  <c r="C124" i="12"/>
  <c r="C190" i="12"/>
  <c r="C218" i="12"/>
  <c r="C28" i="12"/>
  <c r="C120" i="12"/>
  <c r="C5" i="12"/>
  <c r="C4" i="12"/>
  <c r="C6" i="12"/>
  <c r="B273" i="10" l="1"/>
  <c r="C10" i="15"/>
  <c r="C9" i="15"/>
  <c r="C8" i="15"/>
  <c r="C7" i="15"/>
  <c r="C6" i="15"/>
  <c r="C5" i="15"/>
  <c r="C4" i="15"/>
  <c r="C3" i="15"/>
  <c r="B11" i="15"/>
  <c r="C10" i="16"/>
  <c r="C9" i="16"/>
  <c r="C8" i="16"/>
  <c r="C7" i="16"/>
  <c r="C6" i="16"/>
  <c r="C5" i="16"/>
  <c r="C4" i="16"/>
  <c r="C3" i="16"/>
  <c r="B11" i="16"/>
  <c r="C11" i="16"/>
  <c r="C273" i="10"/>
  <c r="C271" i="10"/>
  <c r="C11" i="15"/>
  <c r="C272"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<sst xmlns="http://schemas.openxmlformats.org/spreadsheetml/2006/main" count="1313" uniqueCount="215">
  <si>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</si>
  <si>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</si>
  <si>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</si>
  <si>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</si>
  <si>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</si>
  <si>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</si>
  <si>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</si>
  <si>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</si>
  <si>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</si>
  <si>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</si>
  <si>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</si>
  <si>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</si>
  <si>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</si>
  <si>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</si>
  <si>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</si>
  <si>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</si>
  <si>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</si>
  <si>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</si>
  <si>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</si>
  <si>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</si>
  <si>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</si>
  <si>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</si>
  <si>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</si>
  <si>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</si>
  <si>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</si>
  <si>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</si>
  <si>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</si>
  <si>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</si>
  <si>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</si>
  <si>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</si>
  <si>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</si>
  <si>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</si>
  <si>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</si>
  <si>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</si>
  <si>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</si>
  <si>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</si>
  <si>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</si>
  <si>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</si>
  <si>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</si>
  <si>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Sylvain Philipona</t>
  </si>
  <si>
    <t>CIN4B</t>
  </si>
  <si>
    <t>INFORMER : Analyse du projet</t>
  </si>
  <si>
    <t>TESTER : Test de la solution</t>
  </si>
  <si>
    <t>PLANIFIER : Planification initiale</t>
  </si>
  <si>
    <t>Documentation - Journal de travail</t>
  </si>
  <si>
    <t>Documentation - Rapport</t>
  </si>
  <si>
    <t>Du 08.05.2023 au 07.06.2023</t>
  </si>
  <si>
    <t>REALISER - Création : Intégration</t>
  </si>
  <si>
    <t>REALISER - Création : Recherche utilisateur existant</t>
  </si>
  <si>
    <t>REALISER - Création : Suppression des diacritiques</t>
  </si>
  <si>
    <t>REALISER - Création : Verification existance identifiant de login</t>
  </si>
  <si>
    <t>REALISER - Création : Génération mot de passe</t>
  </si>
  <si>
    <t>REALISER - Création : Script d'ouverture de session</t>
  </si>
  <si>
    <t>REALISER - Création : Génération description</t>
  </si>
  <si>
    <t>REALISER - Création : Création HomeDirectory</t>
  </si>
  <si>
    <t>REALISER - Création : Ajout dans les groupes</t>
  </si>
  <si>
    <t>REALISER - Création : Génération du CSV</t>
  </si>
  <si>
    <t>REALISER - Modification : Intégration</t>
  </si>
  <si>
    <t>REALISER - Modification : Recherche de l'utilisateur</t>
  </si>
  <si>
    <t>REALISER - Modification : Modifications de l'utilisateur</t>
  </si>
  <si>
    <t>REALISER - Modification : Génération du CSV</t>
  </si>
  <si>
    <t>REALISER - Suppression : Intégration</t>
  </si>
  <si>
    <t>REALISER - Suppression : Recherche de l'utilisateur</t>
  </si>
  <si>
    <t>REALISER - Suppression : Suppression de l'utilisateur</t>
  </si>
  <si>
    <t>REALISER - Suppression : Desactivation de l'utilisateur</t>
  </si>
  <si>
    <t>REALISER - Suppression : Suppression du HomeDirectory</t>
  </si>
  <si>
    <t>REALISER - Suppression : Génération du CSV</t>
  </si>
  <si>
    <t>DECIDER : Choix de la solution</t>
  </si>
  <si>
    <t>EVALUER : Validation de la solution selon le CDC</t>
  </si>
  <si>
    <t>Matin - 3H10</t>
  </si>
  <si>
    <t>• Planification initiale</t>
  </si>
  <si>
    <t>Aprèm - 3h10</t>
  </si>
  <si>
    <t>Matin - 4H00</t>
  </si>
  <si>
    <t>Séquence 7</t>
  </si>
  <si>
    <t>vendredi, 12 mai 2023</t>
  </si>
  <si>
    <t>Séquence 6</t>
  </si>
  <si>
    <t>Séquence 5</t>
  </si>
  <si>
    <t>jeudi, 11 mai 2023</t>
  </si>
  <si>
    <t>Séquence 4</t>
  </si>
  <si>
    <t>mercredi, 10 mai 2023</t>
  </si>
  <si>
    <t>lundi, 8 mai 2023</t>
  </si>
  <si>
    <t>Séquence 15</t>
  </si>
  <si>
    <t>mercredi, 24 mai 2023</t>
  </si>
  <si>
    <t>Séquence 14</t>
  </si>
  <si>
    <t>Séquence 13</t>
  </si>
  <si>
    <t>lundi, 22 mai 2023</t>
  </si>
  <si>
    <t>Séquence 12</t>
  </si>
  <si>
    <t>Séquence 11</t>
  </si>
  <si>
    <t>mercredi, 17 mai 2023</t>
  </si>
  <si>
    <t>Séquence 10</t>
  </si>
  <si>
    <t>Séquence 9</t>
  </si>
  <si>
    <t>lundi, 15 mai 2023</t>
  </si>
  <si>
    <t>Séquence 8</t>
  </si>
  <si>
    <t>Séquence 20</t>
  </si>
  <si>
    <t>mercredi, 31 mai 2023</t>
  </si>
  <si>
    <t>Séquence 19</t>
  </si>
  <si>
    <t>Séquence 18</t>
  </si>
  <si>
    <t>vendredi, 26 mai 2023</t>
  </si>
  <si>
    <t>Séquence 17</t>
  </si>
  <si>
    <t>Séquence 16</t>
  </si>
  <si>
    <t>jeudi, 25 mai 2023</t>
  </si>
  <si>
    <t>Séquence 24</t>
  </si>
  <si>
    <t>lundi, 5 juin 2023</t>
  </si>
  <si>
    <t>Séquence 23</t>
  </si>
  <si>
    <t>Séquence 22</t>
  </si>
  <si>
    <t>vendredi, 2 juin 2023</t>
  </si>
  <si>
    <t>Séquence 21</t>
  </si>
  <si>
    <t>Séquence 26</t>
  </si>
  <si>
    <t>mercredi, 7 juin 2023</t>
  </si>
  <si>
    <t>Séquence 25</t>
  </si>
  <si>
    <t>1h25min</t>
  </si>
  <si>
    <t>1h45min</t>
  </si>
  <si>
    <t>REALISER - Création : Génération identifiant de login</t>
  </si>
  <si>
    <t>• Discussion avec M.Ferrari au sujet du cahier des charges</t>
  </si>
  <si>
    <t>• Lecture et validation du cahier des charges avec M.Ceran.
• Création du répertoire GitHub</t>
  </si>
  <si>
    <t>0h10min</t>
  </si>
  <si>
    <t>• Choix de la solution pour la génération des identifiants de login</t>
  </si>
  <si>
    <t>• Réalisation de la génération des identifiants de login</t>
  </si>
  <si>
    <t>• Tests unitaires de la génération des identifiants de login</t>
  </si>
  <si>
    <t>• Validation de la génération des identifiants de login selon les points demandés dans le CDC</t>
  </si>
  <si>
    <t>• Réalisation de la génération du mot de passe</t>
  </si>
  <si>
    <t>• Tests unitaires de la génération du mot de passe</t>
  </si>
  <si>
    <t>• Dossier de conception</t>
  </si>
  <si>
    <t>• Analyse préliminaire
• Conception
• Stratégie de tests
• Dossier de conception</t>
  </si>
  <si>
    <t>• Choix du format du CSV pour la suppression</t>
  </si>
  <si>
    <t>• Choix du format du CSV pour la désactivation</t>
  </si>
  <si>
    <t>Visite - Chef de projet / Experts</t>
  </si>
  <si>
    <t>• Visite chef de projet</t>
  </si>
  <si>
    <t>• Visite de l'expert
• Visite chef de projet</t>
  </si>
  <si>
    <t>Documentation - Impression et rendu du TPI</t>
  </si>
  <si>
    <t>86h</t>
  </si>
  <si>
    <t>ETML - CFPV</t>
  </si>
  <si>
    <t>• Remplissage du journal de travail</t>
  </si>
  <si>
    <t>• https://www.graphiste-libre.com/outils-daccessibilite-des-couleurs/</t>
  </si>
  <si>
    <t>• Analyse et conception de la méthode pour la création des comptes
• Analyse et conception de la méthode pour la modification des comptes
• Analyse et conception de la méthode pour la suppression des comptes</t>
  </si>
  <si>
    <t>• https://lucid.app/lucidchart/63baee3f-0f2c-4eae-bee7-59a599290ba7/edit?viewport_loc=-444%2C-136%2C4039%2C2017%2CeQDWfm~.QisA&amp;invitationId=inv_448e1d67-e4ac-4f9d-949b-6f810f606c3c</t>
  </si>
  <si>
    <t>• Création d'un script .PS1 prenant en input 2 arguments (Prénom + Nom) et retournant l'identifiant de login</t>
  </si>
  <si>
    <t>• https://learn.microsoft.com/en-us/powershell/scripting/developer/cmdlet/approved-verbs-for-windows-powershell-commands?view=powershell-7.3</t>
  </si>
  <si>
    <t>• https://pester.dev/docs/quick-start
• https://pester.dev/docs/v4/usage/assertions</t>
  </si>
  <si>
    <t>• La solution corréspond au CDC dans le cas où un autre script va être implémenté par la suite qui va supprimer les caractères diacritiques et les espaces et apostrophes</t>
  </si>
  <si>
    <t>• Création d'un script .PS1 prenant en argument un nombre et retournant un mot de passe aléatoire de la longeur de la valeur de cet argument</t>
  </si>
  <si>
    <t>• La solution corréspond au CDC</t>
  </si>
  <si>
    <t>• Création et execution de tests unitaires pour tester multiples cas d'inputs</t>
  </si>
  <si>
    <t>• Création d'un script .PS1 prenant en argument un nombre et retournant un mot de passe aléatoire de la longeur de la valeur de cet argument
• Un paramètre 'ExcludeSimilar' permet d'éviter d'avoir des caractères qui pourraient être confondus avec d'autres</t>
  </si>
  <si>
    <t>• https://learn.microsoft.com/en-us/powershell/module/microsoft.powershell.utility/get-random?view=powershell-7.3</t>
  </si>
  <si>
    <t xml:space="preserve">• https://learn.microsoft.com/en-us/dotnet/api/system.string.tochararray?view=net-7.0
</t>
  </si>
  <si>
    <t>• Conception (en cours)</t>
  </si>
  <si>
    <t>• Introduction du projet
• Objectifs du projet
• Planification initiale (en cours)
• Conception
La conception me donne une vision plus globale du projet. Cela me rassure dans la faisabilité du projet</t>
  </si>
  <si>
    <t>• Création un script .PS1 prenant en input 2 arguments (Prénom + Nom) et retournant l'identifiant de login sous le format 3 premiers caractere du prénom + les 8 premiers caractere du nom
La tâche à pris moins de temps que prevu. Cela est rassurant pour la suite du projet</t>
  </si>
  <si>
    <t>• Test du script sur le serveur AD avec plusieurs cas de Nom + Prénom.
• Les tests sont concluents</t>
  </si>
  <si>
    <t>• Optimisation de code lors de l'exclusion des caractères similaires</t>
  </si>
  <si>
    <t xml:space="preserve">• Création d'un script .PS1 prenant en input 2 arguments (Prénom + Nom) et retournant si l'utilisateur existe. </t>
  </si>
  <si>
    <t>• https://learn.microsoft.com/en-us/powershell/module/activedirectory/get-aduser?view=windowsserver2022-ps</t>
  </si>
  <si>
    <t>• Création d'un script .PS1 prenant en input une chaine de caractères et retourne la chaine en ayant remplacé les caractères diacritiques par des caractères sans accents, cédilles…</t>
  </si>
  <si>
    <t>• https://lazywinadmin.com/2015/05/powershell-remove-diacritics-accents.html
• https://learn.microsoft.com/fr-fr/dotnet/api/system.string.normalize?view=net-8.0
• https://unicode.org/reports/tr15/
• https://learn.microsoft.com/en-us/dotnet/api/system.globalization.unicodecategory?view=net-8.0</t>
  </si>
  <si>
    <t>• Execution des tests unitaires pour vérifier que le script fonctionne correctement
• Les tests sont concluents</t>
  </si>
  <si>
    <t>• Création et execution de tests unitaires pour tester multiples cas d'inputs
• Les tests sont concluents</t>
  </si>
  <si>
    <t>• Création d'un script .PS1 prenant en input une chaine de caractères et retourne la chaine en ayant remplacé les caractères diacritiques par des caractères sans accents, cédilles
• Le script utilise la normalisation unicode pour séparer les caractères accentués, ect sous la forme suivante : é =&gt; e ´
• Exemple : L'été de Raphaël =&gt; L ' e ́ t e ́   d e   R a p h a e ̈ l
• Tout ces caractères spéciaux sont ensuite enlevés. Ainsi que les espaces et les apostrophes</t>
  </si>
  <si>
    <t>• Création d'un script .PS1 prenant en input la classe de l'utilisateur et retournane une description basée sur une variable dans le script</t>
  </si>
  <si>
    <t xml:space="preserve">• Création d'un script .PS1 prenant en input la classe de l'utilisateur et retournane une description basée sur une variable dans le script. </t>
  </si>
  <si>
    <t>• Création d'un script .PS1 prenant en input 2 arguments (Prénom + Nom) et retournant si l'utilisateur existe. Le filtre se fait sur les champs ad "GivenName" et "sn"</t>
  </si>
  <si>
    <t>• Visite hébdomadaire de Monsieur Ferrari</t>
  </si>
  <si>
    <t>• Création d'un script .PS1 prenant en input un utilisateur AD et une liste de groupes</t>
  </si>
  <si>
    <t>• Création d'un script .PS1 prenant en input un utilisateur AD et une liste de groupes
• Le script parcourt tout les groupes pour ajouter l'utilisateur dedans
• Un tableau est retourné avec les actions effectuées pour chaque groupe</t>
  </si>
  <si>
    <t>• Test du script sur le serveur AD avec plusieurs cas d'utilisateur AD + groupes.
• Les tests sont concluents</t>
  </si>
  <si>
    <t>• https://www.it-connect.fr/active-directory-samaccountname-vs-userprincipalname/</t>
  </si>
  <si>
    <t>•https://stackoverflow.com/questions/39906809/powershell-2-0-how-to-match-or-like-a-string-in-hash-table-keys</t>
  </si>
  <si>
    <t>•https://stackoverflow.com/questions/39906809/powershell-2-0-how-to-match-or-like-a-string-in-hash-table-keys
•https://www.reddit.com/r/PowerShell/comments/6k9foq/function_parameter_accept_username_string_or/
• https://lazyadmin.nl/powershell/get-aduser/https://stackoverflow.com/questions/24311293/powershell-system-array-to-csv-file
• https://morgantechspace.com/2015/07/powershell-check-if-ad-user-is-member-of-group.html</t>
  </si>
  <si>
    <t>• Création d'un script .ps1 prenant en input le nom de la profession de l'utilisateur, la compare avec une table de vérité et retourne le nom du script</t>
  </si>
  <si>
    <t xml:space="preserve">• Création d'un script .PS1 prenant en input un login et retournant si le login existe. </t>
  </si>
  <si>
    <t>• Création d'un script .PS1 prenant en input un login et retournant si le login existe. 
• Le filtre se fait sur le champ ad "samAccountName''</t>
  </si>
  <si>
    <t>• Test du script sur le serveur AD avec plusieurs cas d'utilisateur AD.
• Les tests sont concluents</t>
  </si>
  <si>
    <t>• Stratégie de tests
• Dossier de conception</t>
  </si>
  <si>
    <t>• Création d'un script .PS1 prenant en input le chemin du dossier principal des homes directory, le nom du partage et le nom de l'utilisateur à qui créer le dossier home</t>
  </si>
  <si>
    <t>• Création d'un script .PS1 prenant en input le chemin du dossier principal des homes directory, le nom du partage et le nom de l'utilisateur à qui créer le dossier home
• Le script vérifie si le dossier principal des homes existe, et dans le cas ou il n'existe pas, le crée, le partage et lui affecte les bon droits</t>
  </si>
  <si>
    <t>• Test du script sur le serveur AD avec plusieurs cas d'utilisateurs
• Les tests sont concluents</t>
  </si>
  <si>
    <t>• Intégration de tous les scripts entre eux
• Cette tâche à pris plus de temps que prévu mais je reste quand même dans les temps</t>
  </si>
  <si>
    <t>• Création d'un script principal .ps1 qui va lancer tous les autres scripts pour efféctuer la création des comptes selon le CDC</t>
  </si>
  <si>
    <t>• Visite de M. Berney</t>
  </si>
  <si>
    <t>•https://stackoverflow.com/questions/28787364/check-file-extension
• https://learn.microsoft.com/en-us/powershell/module/activedirectory/new-aduser?view=windowsserver2022-ps
•https://stackoverflow.com/questions/35141099/changepasswordatlogon-not-applying-on-new-aduser-when-enabled-is-false</t>
  </si>
  <si>
    <t>• Importation selon le délimiteur CSV
• Regénération du login si celui-ci existe déjà
• Demande à l'utilisateur de se changer son mot de passe lors de la première connexion
• Crée l'utilisateur dans la bonne OU</t>
  </si>
  <si>
    <t>• Test du script sur le serveur AD avec plusieurs cas de données
• Les tests sont concluents</t>
  </si>
  <si>
    <t>• Création d'un tabeau avec les données suivantes : User, Action, Login, Password, LoginScript, HomeDirectory, Comments, Groups.
Toutes les actions éfféctuées dans le script de création des comptes sont loggés dans ce tableau. 
• Le tableau est généré pour chaque utilisateur, puis exporté en .CSV</t>
  </si>
  <si>
    <t>• Test du script sur avec plusieurs cas de données
• Les tests sont concluents</t>
  </si>
  <si>
    <t>• https://www.interfacett.com/blogs/how-should-i-name-my-powershell-scripts/</t>
  </si>
  <si>
    <t>• Dossier de réalisation : Création des comptes
• Dossier de réalisation : Environement, version du projet et normes de codage / nommage</t>
  </si>
  <si>
    <t>• Dossier de réalisation : Création des comptes
• Création d'un diagramme de flux de la création des comptes</t>
  </si>
  <si>
    <t>• https://miro.com/app/board/uXjVMFDguGw=/</t>
  </si>
  <si>
    <t>• Pour ce point pas de script nécessaire car il existe déjà une fonction AD permettant de rlakiser ce point</t>
  </si>
  <si>
    <t>• Création de la commande Get-AdUser filtrant par la champ samAccountName</t>
  </si>
  <si>
    <t>• Test de la commande avec plusieurs cas de données
• Les tests sont concluents</t>
  </si>
  <si>
    <t>• Création d'un script .PS1 prenant en argument l'identifiant de login de l'utilisateur</t>
  </si>
  <si>
    <t>• Le script effectue une recherche si l'utilisateur existe. Dans ce cas le compte est supprimé et la valeur "True" est retournée. Dans le cas contraire rien n'est fait et la valeur "False" est retournée.</t>
  </si>
  <si>
    <t>• Le script effectue une recherche si l'utilisateur existe. Dans ce cas le compte est désactivé et la valeur "True" est retournée. Dans le cas contraire rien n'est fait et la valeur "False" est retournée.</t>
  </si>
  <si>
    <t>• L'utilisateur est recherché par son identifiant de login
• Le champ HomeDirectory est récupéré du compte
• Le dossier est ensuite supprimé</t>
  </si>
  <si>
    <t>• https://stackoverflow.com/questions/36585500/how-to-display-formatted-output-with-write-host</t>
  </si>
  <si>
    <t>• Gestion des erreurs plus performante et gére des cas supplémentaires</t>
  </si>
  <si>
    <t>• Visite de M. Ferrari
• Réponse à mes questions concernant les format csv : A mon libre choix
•  Réponse à mes questions concernant la création du home directory : Il faut mettre les droits en Modifiy aux utilisateurs et pas en Control Total</t>
  </si>
  <si>
    <t>0h20min</t>
  </si>
  <si>
    <t>• Refactorisation de la génération du csv sous le même format que pour la suppréssion des comptes</t>
  </si>
  <si>
    <t>• Dossier de réalisation</t>
  </si>
  <si>
    <t>• Importation selon le délimiteur CSV
• Teste si l'utilisateur doit être supprimé ou désactivé
• Désactive l'utilisateur
• Supprime l'utilisateur si celui-ci est déjà désactivé</t>
  </si>
  <si>
    <t>• Intégration de tous les scripts entre eux</t>
  </si>
  <si>
    <t>0h5min</t>
  </si>
  <si>
    <t>• Test du script avec plusieurs cas de données
• Les tests sont concluents</t>
  </si>
  <si>
    <t>•https://stackoverflow.com/questions/44144678/trying-to-remove-user-from-all-groups-in-an-active-directory-using-powershell-sc</t>
  </si>
  <si>
    <t>• Intégration des scripts et commandes entre eux</t>
  </si>
  <si>
    <t>• Création d'un tabeau avec les données suivantes : User, Action, Email, Classe, LoginScript, Comments, Groups.
Toutes les actions éfféctuées dans le script de création des comptes sont loggés dans ce tableau. 
• Le tableau est généré pour chaque utilisateur, puis exporté en .CSV</t>
  </si>
  <si>
    <t>• Le script récupère les nouvelles données de l'utilisateur
• La description et le script de login sont regénérés
• Le compte est modifié avec les nouvelles informations fournies dans le CSV</t>
  </si>
  <si>
    <t>• Importation selon le délimiteur CSV
• Teste si l'utilisateur existe
• Modifie l'utilisateur</t>
  </si>
  <si>
    <t>• Création d'un script .PS1 prenant en argument les données à modifier et modifie ensuite l'utilisateur</t>
  </si>
  <si>
    <t>• Ajout du champ E-mail lors de la création des comptes
• Changement de droits en "Modify" lors de la création du home directory</t>
  </si>
  <si>
    <t>72h20min</t>
  </si>
  <si>
    <t>- 13h40min</t>
  </si>
  <si>
    <t>• Dossier de réalisation
• Création de diagrammes de flux pour la modification et la suppression des comptes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</si>
</sst>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indexed="11"/>
        <bgColor indexed="64"/>
      </patternFill>
    </fill>
    <fill>
      <patternFill patternType="solid">
        <fgColor rgb="FFFFFACD"/>
        <bgColor indexed="64"/>
      </patternFill>
    </fill>
    <fill>
      <patternFill patternType="solid">
        <fgColor theme="8"/>
        <bgColor indexed="64"/>
      </patternFill>
    </fill>
  </fills>
  <borders count="9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18" xfId="0" applyFont="1" applyFill="1" applyBorder="1" applyProtection="1"/>
    <xf numFmtId="0" fontId="2" fillId="17" borderId="19" xfId="0" applyFont="1" applyFill="1" applyBorder="1" applyProtection="1"/>
    <xf numFmtId="0" fontId="2" fillId="17" borderId="19" xfId="0" applyFont="1" applyFill="1" applyBorder="1"/>
    <xf numFmtId="0" fontId="2" fillId="17" borderId="72" xfId="0" applyFont="1" applyFill="1" applyBorder="1"/>
    <xf numFmtId="0" fontId="2" fillId="17" borderId="77" xfId="0" applyFont="1" applyFill="1" applyBorder="1"/>
    <xf numFmtId="0" fontId="2" fillId="17" borderId="56" xfId="0" applyFont="1" applyFill="1" applyBorder="1"/>
    <xf numFmtId="0" fontId="2" fillId="17" borderId="28" xfId="0" applyFont="1" applyFill="1" applyBorder="1"/>
    <xf numFmtId="0" fontId="2" fillId="17" borderId="79" xfId="0" applyFont="1" applyFill="1" applyBorder="1"/>
    <xf numFmtId="0" fontId="2" fillId="17" borderId="28" xfId="0" applyFont="1" applyFill="1" applyBorder="1" applyProtection="1"/>
    <xf numFmtId="0" fontId="2" fillId="17" borderId="27" xfId="0" applyFont="1" applyFill="1" applyBorder="1" applyProtection="1"/>
    <xf numFmtId="0" fontId="2" fillId="17" borderId="74" xfId="0" applyFont="1" applyFill="1" applyBorder="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87" xfId="1" applyFont="1" applyFill="1" applyBorder="1" applyAlignment="1" applyProtection="1">
      <alignment horizontal="center" vertical="center" wrapText="1"/>
      <protection locked="0"/>
    </xf>
    <xf numFmtId="0" fontId="2" fillId="0" borderId="87" xfId="0" applyFont="1" applyFill="1" applyBorder="1" applyAlignment="1" applyProtection="1">
      <alignment horizontal="center" vertical="center" wrapText="1"/>
      <protection locked="0"/>
    </xf>
    <xf numFmtId="0" fontId="2" fillId="0" borderId="87" xfId="0" applyFont="1" applyFill="1" applyBorder="1" applyAlignment="1" applyProtection="1">
      <alignment horizontal="left" vertical="top" wrapText="1"/>
      <protection locked="0"/>
    </xf>
    <xf numFmtId="0" fontId="2" fillId="0" borderId="88" xfId="0" applyFont="1" applyFill="1" applyBorder="1" applyAlignment="1" applyProtection="1">
      <alignment horizontal="center" vertical="top" wrapText="1"/>
      <protection locked="0"/>
    </xf>
    <xf numFmtId="0" fontId="2" fillId="0" borderId="89"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21" xfId="0" applyFont="1" applyFill="1" applyBorder="1" applyProtection="1"/>
    <xf numFmtId="0" fontId="2" fillId="18" borderId="22"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2" xfId="0" applyFont="1" applyFill="1" applyBorder="1"/>
    <xf numFmtId="0" fontId="2" fillId="18" borderId="80" xfId="0" applyFont="1" applyFill="1" applyBorder="1"/>
    <xf numFmtId="0" fontId="2" fillId="18" borderId="75" xfId="0" applyFont="1" applyFill="1" applyBorder="1"/>
    <xf numFmtId="0" fontId="2" fillId="18" borderId="57" xfId="0" applyFont="1" applyFill="1" applyBorder="1"/>
    <xf numFmtId="0" fontId="2" fillId="18" borderId="24" xfId="0" applyFont="1" applyFill="1" applyBorder="1" applyProtection="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54" xfId="0" applyFont="1" applyFill="1" applyBorder="1"/>
    <xf numFmtId="0" fontId="0" fillId="0" borderId="2"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center" vertical="center"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20" borderId="51" xfId="0" applyFont="1" applyFill="1" applyBorder="1" applyAlignment="1" applyProtection="1">
      <alignment horizontal="left" vertical="center" wrapText="1" indent="1"/>
      <protection locked="0"/>
    </xf>
    <xf numFmtId="0" fontId="9" fillId="20" borderId="52" xfId="0" applyFont="1" applyFill="1" applyBorder="1" applyAlignment="1" applyProtection="1">
      <alignment horizontal="left" vertical="center" wrapText="1" indent="1"/>
      <protection locked="0"/>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9" fillId="5" borderId="51" xfId="0" quotePrefix="1" applyFont="1" applyFill="1" applyBorder="1" applyAlignment="1" applyProtection="1">
      <alignment horizontal="left" vertical="center" wrapText="1" indent="1"/>
      <protection locked="0"/>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21" fillId="0" borderId="5" xfId="0" applyNumberFormat="1" applyFont="1" applyFill="1" applyBorder="1" applyAlignment="1">
      <alignment horizontal="center" vertical="center"/>
    </xf>
    <xf numFmtId="0" fontId="23" fillId="0" borderId="15" xfId="0" applyFont="1" applyFill="1" applyBorder="1" applyAlignment="1" applyProtection="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2"/>
              <c:pt idx="0">
                <c:v>Absences - imprévus </c:v>
              </c:pt>
              <c:pt idx="1">
                <c:v>Visite - Chef de projet / Experts</c:v>
              </c:pt>
              <c:pt idx="2">
                <c:v>INFORMER : Analyse du projet</c:v>
              </c:pt>
              <c:pt idx="3">
                <c:v>PLANIFIER : Planification initiale</c:v>
              </c:pt>
              <c:pt idx="4">
                <c:v>DECIDER : Choix de la solution</c:v>
              </c:pt>
              <c:pt idx="5">
                <c:v>REALISER - Création : Intégration</c:v>
              </c:pt>
              <c:pt idx="6">
                <c:v>REALISER - Création : Recherche utilisateur existant</c:v>
              </c:pt>
              <c:pt idx="7">
                <c:v>REALISER - Création : Génération identifiant de login</c:v>
              </c:pt>
              <c:pt idx="8">
                <c:v>REALISER - Création : Suppression des diacritiques</c:v>
              </c:pt>
              <c:pt idx="9">
                <c:v>REALISER - Création : Verification existance identifiant de login</c:v>
              </c:pt>
              <c:pt idx="10">
                <c:v>REALISER - Création : Génération mot de passe</c:v>
              </c:pt>
              <c:pt idx="11">
                <c:v>REALISER - Création : Script d'ouverture de session</c:v>
              </c:pt>
              <c:pt idx="12">
                <c:v>REALISER - Création : Génération description</c:v>
              </c:pt>
              <c:pt idx="13">
                <c:v>REALISER - Création : Création HomeDirectory</c:v>
              </c:pt>
              <c:pt idx="14">
                <c:v>REALISER - Création : Ajout dans les groupes</c:v>
              </c:pt>
              <c:pt idx="15">
                <c:v>REALISER - Création : Génération du CSV</c:v>
              </c:pt>
              <c:pt idx="16">
                <c:v>REALISER - Modification : Intégration</c:v>
              </c:pt>
              <c:pt idx="17">
                <c:v>REALISER - Modification : Recherche de l'utilisateur</c:v>
              </c:pt>
              <c:pt idx="18">
                <c:v>REALISER - Modification : Modifications de l'utilisateur</c:v>
              </c:pt>
              <c:pt idx="19">
                <c:v>REALISER - Modification : Génération du CSV</c:v>
              </c:pt>
              <c:pt idx="20">
                <c:v>REALISER - Suppression : Intégration</c:v>
              </c:pt>
              <c:pt idx="21">
                <c:v>REALISER - Suppression : Recherche de l'utilisateur</c:v>
              </c:pt>
              <c:pt idx="22">
                <c:v>REALISER - Suppression : Suppression de l'utilisateur</c:v>
              </c:pt>
              <c:pt idx="23">
                <c:v>REALISER - Suppression : Desactivation de l'utilisateur</c:v>
              </c:pt>
              <c:pt idx="24">
                <c:v>REALISER - Suppression : Suppression du HomeDirectory</c:v>
              </c:pt>
              <c:pt idx="25">
                <c:v>REALISER - Suppression : Génération du CSV</c:v>
              </c:pt>
              <c:pt idx="26">
                <c:v>TESTER : Test de la solution</c:v>
              </c:pt>
              <c:pt idx="27">
                <c:v>EVALUER : Validation de la solution selon le CDC</c:v>
              </c:pt>
              <c:pt idx="28">
                <c:v>Documentation - Journal de travail</c:v>
              </c:pt>
              <c:pt idx="29">
                <c:v>Documentation - Rapport</c:v>
              </c:pt>
              <c:pt idx="30">
                <c:v>Documentation - Impression et rendu du TPI</c:v>
              </c:pt>
            </c:strLit>
          </c:cat>
          <c:val>
            <c:numLit>
              <c:formatCode>General</c:formatCode>
              <c:ptCount val="32"/>
              <c:pt idx="0">
                <c:v>0</c:v>
              </c:pt>
              <c:pt idx="1">
                <c:v>1.8300000429153442</c:v>
              </c:pt>
              <c:pt idx="2">
                <c:v>3.5</c:v>
              </c:pt>
              <c:pt idx="3">
                <c:v>4.75</c:v>
              </c:pt>
              <c:pt idx="4">
                <c:v>3.1700000762939453</c:v>
              </c:pt>
              <c:pt idx="5">
                <c:v>1.75</c:v>
              </c:pt>
              <c:pt idx="6">
                <c:v>0.75</c:v>
              </c:pt>
              <c:pt idx="7">
                <c:v>1.5</c:v>
              </c:pt>
              <c:pt idx="8">
                <c:v>1.5</c:v>
              </c:pt>
              <c:pt idx="9">
                <c:v>0.25</c:v>
              </c:pt>
              <c:pt idx="10">
                <c:v>0.75</c:v>
              </c:pt>
              <c:pt idx="11">
                <c:v>2</c:v>
              </c:pt>
              <c:pt idx="12">
                <c:v>0.25</c:v>
              </c:pt>
              <c:pt idx="13">
                <c:v>1.1699999570846558</c:v>
              </c:pt>
              <c:pt idx="14">
                <c:v>1.5800000429153442</c:v>
              </c:pt>
              <c:pt idx="15">
                <c:v>1.1699999570846558</c:v>
              </c:pt>
              <c:pt idx="16">
                <c:v>1.8300000429153442</c:v>
              </c:pt>
              <c:pt idx="17">
                <c:v>0.67000001668930054</c:v>
              </c:pt>
              <c:pt idx="18">
                <c:v>1.5</c:v>
              </c:pt>
              <c:pt idx="19">
                <c:v>0.33000001311302185</c:v>
              </c:pt>
              <c:pt idx="20">
                <c:v>1</c:v>
              </c:pt>
              <c:pt idx="21">
                <c:v>0.67000001668930054</c:v>
              </c:pt>
              <c:pt idx="22">
                <c:v>1.5</c:v>
              </c:pt>
              <c:pt idx="23">
                <c:v>0.82999998331069946</c:v>
              </c:pt>
              <c:pt idx="24">
                <c:v>1.5</c:v>
              </c:pt>
              <c:pt idx="25">
                <c:v>0.33000001311302185</c:v>
              </c:pt>
              <c:pt idx="26">
                <c:v>8.9200000762939453</c:v>
              </c:pt>
              <c:pt idx="27">
                <c:v>4</c:v>
              </c:pt>
              <c:pt idx="28">
                <c:v>4</c:v>
              </c:pt>
              <c:pt idx="29">
                <c:v>29.170000076293945</c:v>
              </c:pt>
              <c:pt idx="30">
                <c:v>3.8299999237060547</c:v>
              </c:pt>
              <c:pt idx="3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2"/>
              <c:pt idx="0">
                <c:v>0</c:v>
              </c:pt>
              <c:pt idx="1">
                <c:v>0.82999998331069946</c:v>
              </c:pt>
              <c:pt idx="2">
                <c:v>3.6700000762939453</c:v>
              </c:pt>
              <c:pt idx="3">
                <c:v>4.75</c:v>
              </c:pt>
              <c:pt idx="4">
                <c:v>2.5799999237060547</c:v>
              </c:pt>
              <c:pt idx="5">
                <c:v>5.75</c:v>
              </c:pt>
              <c:pt idx="6">
                <c:v>0.25</c:v>
              </c:pt>
              <c:pt idx="7">
                <c:v>0.5</c:v>
              </c:pt>
              <c:pt idx="8">
                <c:v>0.57999998331069946</c:v>
              </c:pt>
              <c:pt idx="9">
                <c:v>0.17000000178813934</c:v>
              </c:pt>
              <c:pt idx="10">
                <c:v>0.82999998331069946</c:v>
              </c:pt>
              <c:pt idx="11">
                <c:v>1</c:v>
              </c:pt>
              <c:pt idx="12">
                <c:v>0.17000000178813934</c:v>
              </c:pt>
              <c:pt idx="13">
                <c:v>3.3299999237060547</c:v>
              </c:pt>
              <c:pt idx="14">
                <c:v>2</c:v>
              </c:pt>
              <c:pt idx="15">
                <c:v>3.5</c:v>
              </c:pt>
              <c:pt idx="16">
                <c:v>0.33000001311302185</c:v>
              </c:pt>
              <c:pt idx="17">
                <c:v>0</c:v>
              </c:pt>
              <c:pt idx="18">
                <c:v>0.25</c:v>
              </c:pt>
              <c:pt idx="19">
                <c:v>0.33000001311302185</c:v>
              </c:pt>
              <c:pt idx="20">
                <c:v>1</c:v>
              </c:pt>
              <c:pt idx="21">
                <c:v>0.17000000178813934</c:v>
              </c:pt>
              <c:pt idx="22">
                <c:v>0.17000000178813934</c:v>
              </c:pt>
              <c:pt idx="23">
                <c:v>0.17000000178813934</c:v>
              </c:pt>
              <c:pt idx="24">
                <c:v>0.5</c:v>
              </c:pt>
              <c:pt idx="25">
                <c:v>1.4199999570846558</c:v>
              </c:pt>
              <c:pt idx="26">
                <c:v>7</c:v>
              </c:pt>
              <c:pt idx="27">
                <c:v>2.8299999237060547</c:v>
              </c:pt>
              <c:pt idx="28">
                <c:v>2.9200000762939453</c:v>
              </c:pt>
              <c:pt idx="29">
                <c:v>25.329999923706055</c:v>
              </c:pt>
              <c:pt idx="30">
                <c:v>0</c:v>
              </c:pt>
              <c:pt idx="3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97428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681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H39" sqref="H39"/>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8" t="s">
        <v>29</v>
      </c>
      <c r="C35" s="228"/>
      <c r="D35" s="228"/>
      <c r="E35" s="107" t="s">
        <v>130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9" t="s">
        <v>30</v>
      </c>
      <c r="C37" s="229"/>
      <c r="D37" s="229"/>
      <c r="E37" s="109" t="s">
        <v>212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202" t="s">
        <v>213</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41" zoomScale="70" zoomScaleNormal="70" zoomScaleSheetLayoutView="40" workbookViewId="0">
      <selection activeCell="F94" sqref="F94:BHE94"/>
    </sheetView>
  </sheetViews>
  <sheetFormatPr baseColWidth="10" defaultColWidth="11.42578125" defaultRowHeight="13.5" x14ac:dyDescent="0.25"/>
  <cols>
    <col min="1" max="1" width="1.85546875" style="3" customWidth="1"/>
    <col min="2" max="2" width="2.42578125" style="99" customWidth="1"/>
    <col min="3" max="3" width="87.57031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566" ht="35.1" customHeight="1" x14ac:dyDescent="0.25">
      <c r="B1" s="95"/>
      <c r="C1" s="245" t="s">
        <v>28</v>
      </c>
      <c r="D1" s="245"/>
      <c r="E1" s="24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5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566" ht="30" customHeight="1" x14ac:dyDescent="0.25">
      <c r="B3" s="96"/>
      <c r="C3" s="7" t="s">
        <v>0</v>
      </c>
      <c r="D3" s="140"/>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566" ht="30" customHeight="1" x14ac:dyDescent="0.25">
      <c r="B4" s="96"/>
      <c r="C4" s="12" t="s">
        <v>6</v>
      </c>
      <c r="D4" s="141"/>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566" ht="30" customHeight="1" x14ac:dyDescent="0.25">
      <c r="B5" s="96"/>
      <c r="C5" s="12" t="s">
        <v>1</v>
      </c>
      <c r="D5" s="141"/>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566" ht="30" customHeight="1" thickBot="1" x14ac:dyDescent="0.3">
      <c r="B6" s="96"/>
      <c r="C6" s="17" t="s">
        <v>2</v>
      </c>
      <c r="D6" s="142"/>
      <c r="E6" s="18" t="s">
        <v>131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566" ht="20.100000000000001" customHeight="1" thickBot="1" x14ac:dyDescent="0.3">
      <c r="B7" s="96"/>
      <c r="C7" s="246"/>
      <c r="D7" s="246"/>
      <c r="E7" s="24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56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566" ht="30" customHeight="1" x14ac:dyDescent="0.25">
      <c r="B9" s="96"/>
      <c r="C9" s="12" t="s">
        <v>15</v>
      </c>
      <c r="D9" s="141"/>
      <c r="E9" s="13" t="s">
        <v>19</v>
      </c>
      <c r="F9" s="14"/>
      <c r="G9" s="249" t="str">
        <f>E96</f>
        <v>86h</v>
      </c>
      <c r="H9" s="249"/>
      <c r="I9" s="249"/>
      <c r="J9" s="249"/>
      <c r="K9" s="249"/>
      <c r="L9" s="249"/>
      <c r="M9" s="249"/>
      <c r="N9" s="249"/>
      <c r="O9" s="249"/>
      <c r="P9" s="249"/>
      <c r="Q9" s="249"/>
      <c r="R9" s="249"/>
      <c r="S9" s="249"/>
      <c r="T9" s="249"/>
      <c r="U9" s="249"/>
      <c r="V9" s="119"/>
      <c r="W9" s="248" t="s">
        <v>20</v>
      </c>
      <c r="X9" s="248"/>
      <c r="Y9" s="248"/>
      <c r="Z9" s="248"/>
      <c r="AA9" s="248"/>
      <c r="AB9" s="248"/>
      <c r="AC9" s="248"/>
      <c r="AD9" s="248"/>
      <c r="AE9" s="248"/>
      <c r="AF9" s="248"/>
      <c r="AG9" s="248"/>
      <c r="AH9" s="249" t="str">
        <f>E98</f>
        <v>72h20min</v>
      </c>
      <c r="AI9" s="249"/>
      <c r="AJ9" s="249"/>
      <c r="AK9" s="249"/>
      <c r="AL9" s="249"/>
      <c r="AM9" s="249"/>
      <c r="AN9" s="249"/>
      <c r="AO9" s="249"/>
      <c r="AP9" s="249"/>
      <c r="AQ9" s="249"/>
      <c r="AR9" s="249"/>
      <c r="AS9" s="249"/>
      <c r="AT9" s="249"/>
      <c r="AU9" s="249"/>
      <c r="AV9" s="249"/>
      <c r="AW9" s="24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5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0"/>
      <c r="BO10" s="250"/>
      <c r="BP10" s="250"/>
      <c r="BQ10" s="250"/>
      <c r="BR10" s="250"/>
      <c r="BS10" s="250"/>
      <c r="BT10" s="250"/>
      <c r="BU10" s="250"/>
      <c r="BV10" s="250"/>
      <c r="BW10" s="250"/>
      <c r="BX10" s="250"/>
      <c r="BY10" s="250"/>
      <c r="BZ10" s="250"/>
      <c r="CA10" s="250"/>
      <c r="CB10" s="250"/>
      <c r="CC10" s="250"/>
      <c r="CD10" s="250"/>
      <c r="CE10" s="250"/>
      <c r="CF10" s="250"/>
      <c r="CG10" s="250"/>
      <c r="CH10" s="250"/>
      <c r="CI10" s="250"/>
      <c r="CJ10" s="250"/>
      <c r="CK10" s="250"/>
      <c r="CL10" s="250"/>
      <c r="CM10" s="250"/>
      <c r="CN10" s="250"/>
      <c r="CO10" s="250"/>
      <c r="CP10" s="250"/>
      <c r="CQ10" s="92"/>
      <c r="CR10" s="236"/>
      <c r="CS10" s="236"/>
      <c r="CT10" s="236"/>
      <c r="CU10" s="236"/>
      <c r="CV10" s="236"/>
      <c r="CW10" s="236"/>
      <c r="CX10" s="236"/>
      <c r="CY10" s="236"/>
      <c r="CZ10" s="236"/>
      <c r="DA10" s="236"/>
      <c r="DB10" s="236"/>
      <c r="DC10" s="236"/>
      <c r="DD10" s="236"/>
      <c r="DE10" s="236"/>
      <c r="DF10" s="236"/>
      <c r="DG10" s="236"/>
      <c r="DH10" s="236"/>
      <c r="DI10" s="236"/>
      <c r="DJ10" s="236"/>
      <c r="DK10" s="236"/>
      <c r="DL10" s="236"/>
      <c r="DM10" s="236"/>
      <c r="DN10" s="236"/>
      <c r="DO10" s="236"/>
      <c r="DP10" s="236"/>
      <c r="DQ10" s="236"/>
      <c r="DR10" s="236"/>
      <c r="DS10" s="236"/>
      <c r="DT10" s="236"/>
      <c r="DU10" s="236"/>
      <c r="DV10" s="236"/>
      <c r="DW10" s="236"/>
      <c r="DX10" s="236"/>
      <c r="DY10" s="236"/>
      <c r="DZ10" s="236"/>
      <c r="EA10" s="236"/>
      <c r="EB10" s="236"/>
      <c r="EC10" s="236"/>
      <c r="ED10" s="236"/>
      <c r="EE10" s="236"/>
      <c r="EF10" s="236"/>
      <c r="EG10" s="236"/>
      <c r="EH10" s="236"/>
      <c r="EI10" s="236"/>
      <c r="EJ10" s="236"/>
      <c r="EK10" s="236"/>
      <c r="EL10" s="236"/>
      <c r="EM10" s="236"/>
      <c r="EN10" s="236"/>
      <c r="EO10" s="236"/>
      <c r="EP10" s="236"/>
      <c r="EQ10" s="236"/>
      <c r="ER10" s="236"/>
      <c r="ES10" s="236"/>
      <c r="ET10" s="236"/>
      <c r="EU10" s="236"/>
      <c r="EV10" s="236"/>
      <c r="EW10" s="236"/>
      <c r="EX10" s="236"/>
      <c r="EY10" s="236"/>
      <c r="EZ10" s="236"/>
      <c r="FA10" s="236"/>
      <c r="FB10" s="236"/>
      <c r="FC10" s="236"/>
      <c r="FD10" s="236"/>
      <c r="FE10" s="236"/>
      <c r="FF10" s="236"/>
      <c r="FG10" s="236"/>
      <c r="FH10" s="236"/>
      <c r="FI10" s="236"/>
      <c r="FJ10" s="236"/>
      <c r="FK10" s="236"/>
      <c r="FL10" s="236"/>
      <c r="FM10" s="236"/>
      <c r="FN10" s="236"/>
      <c r="FO10" s="236"/>
      <c r="FP10" s="236"/>
      <c r="FQ10" s="236"/>
      <c r="FR10" s="236"/>
      <c r="FS10" s="236"/>
      <c r="FT10" s="236"/>
      <c r="FU10" s="236"/>
      <c r="FV10" s="236"/>
      <c r="FW10" s="236"/>
      <c r="FX10" s="236"/>
      <c r="FY10" s="236"/>
      <c r="FZ10" s="236"/>
      <c r="GA10" s="236"/>
      <c r="GB10" s="236"/>
      <c r="GC10" s="236"/>
      <c r="GD10" s="236"/>
      <c r="GE10" s="236"/>
      <c r="GF10" s="236"/>
      <c r="GG10" s="236"/>
      <c r="GH10" s="236"/>
      <c r="GI10" s="236"/>
      <c r="GJ10" s="236"/>
      <c r="GK10" s="236"/>
      <c r="GL10" s="236"/>
      <c r="GM10" s="236"/>
      <c r="GN10" s="236"/>
      <c r="GO10" s="236"/>
      <c r="GP10" s="236"/>
      <c r="GQ10" s="236"/>
      <c r="GR10" s="236"/>
      <c r="GS10" s="236"/>
      <c r="GT10" s="236"/>
      <c r="GU10" s="236"/>
      <c r="GV10" s="236"/>
      <c r="GW10" s="236"/>
      <c r="GX10" s="236"/>
      <c r="GY10" s="236"/>
      <c r="GZ10" s="236"/>
      <c r="HA10" s="236"/>
      <c r="HB10" s="236"/>
      <c r="HC10" s="236"/>
      <c r="HD10" s="236"/>
      <c r="HE10" s="236"/>
      <c r="HF10" s="236"/>
      <c r="HG10" s="236"/>
      <c r="HH10" s="236"/>
      <c r="HI10" s="236"/>
      <c r="HJ10" s="236"/>
      <c r="HK10" s="236"/>
      <c r="HL10" s="236"/>
      <c r="HM10" s="236"/>
      <c r="HN10" s="236"/>
      <c r="HO10" s="236"/>
      <c r="HP10" s="236"/>
      <c r="HQ10" s="236"/>
      <c r="HR10" s="236"/>
      <c r="HS10" s="236"/>
      <c r="HT10" s="236"/>
      <c r="HU10" s="236"/>
      <c r="HV10" s="236"/>
      <c r="HW10" s="236"/>
      <c r="HX10" s="236"/>
      <c r="HY10" s="236"/>
      <c r="HZ10" s="236"/>
      <c r="IA10" s="236"/>
      <c r="IB10" s="236"/>
      <c r="IC10" s="236"/>
      <c r="ID10" s="236"/>
      <c r="IE10" s="236"/>
      <c r="IF10" s="236"/>
      <c r="IG10" s="236"/>
      <c r="IH10" s="236"/>
      <c r="II10" s="236"/>
      <c r="IJ10" s="236"/>
      <c r="IK10" s="236"/>
      <c r="IL10" s="236"/>
      <c r="IM10" s="236"/>
      <c r="IN10" s="236"/>
      <c r="IO10" s="236"/>
      <c r="IP10" s="236"/>
      <c r="IQ10" s="236"/>
      <c r="IR10" s="236"/>
      <c r="IS10" s="236"/>
      <c r="IT10" s="236"/>
      <c r="IU10" s="236"/>
      <c r="IV10" s="236"/>
      <c r="IW10" s="236"/>
      <c r="IX10" s="236"/>
      <c r="IY10" s="236"/>
      <c r="IZ10" s="236"/>
      <c r="JA10" s="236"/>
      <c r="JB10" s="236"/>
      <c r="JC10" s="236"/>
      <c r="JD10" s="236"/>
      <c r="JE10" s="236"/>
      <c r="JF10" s="236"/>
      <c r="JG10" s="236"/>
      <c r="JH10" s="236"/>
      <c r="JI10" s="236"/>
      <c r="JJ10" s="236"/>
      <c r="JK10" s="236"/>
      <c r="JL10" s="236"/>
      <c r="JM10" s="236"/>
      <c r="JN10" s="236"/>
      <c r="JO10" s="236"/>
      <c r="JP10" s="236"/>
      <c r="JQ10" s="236"/>
      <c r="JR10" s="236"/>
      <c r="JS10" s="236"/>
      <c r="JT10" s="236"/>
      <c r="JU10" s="236"/>
      <c r="JV10" s="236"/>
      <c r="JW10" s="236"/>
      <c r="JX10" s="236"/>
      <c r="JY10" s="236"/>
      <c r="JZ10" s="236"/>
      <c r="KA10" s="236"/>
      <c r="KB10" s="236"/>
      <c r="KC10" s="236"/>
      <c r="KD10" s="236"/>
      <c r="KE10" s="236"/>
      <c r="KF10" s="236"/>
      <c r="KG10" s="236"/>
      <c r="KH10" s="236"/>
      <c r="KI10" s="236"/>
      <c r="KJ10" s="236"/>
      <c r="KK10" s="236"/>
      <c r="KL10" s="236"/>
      <c r="KM10" s="236"/>
      <c r="KN10" s="236"/>
      <c r="KO10" s="236"/>
      <c r="KP10" s="236"/>
      <c r="KQ10" s="236"/>
      <c r="KR10" s="236"/>
      <c r="KS10" s="236"/>
      <c r="KT10" s="236"/>
      <c r="KU10" s="236"/>
      <c r="KV10" s="236"/>
      <c r="KW10" s="236"/>
      <c r="KX10" s="236"/>
      <c r="KY10" s="236"/>
      <c r="KZ10" s="236"/>
      <c r="LA10" s="236"/>
      <c r="LB10" s="236"/>
      <c r="LC10" s="236"/>
      <c r="LD10" s="236"/>
      <c r="LE10" s="236"/>
      <c r="LF10" s="236"/>
      <c r="LG10" s="236"/>
      <c r="LH10" s="236"/>
      <c r="LI10" s="236"/>
      <c r="LJ10" s="236"/>
      <c r="LK10" s="236"/>
      <c r="LL10" s="236"/>
      <c r="LM10" s="236"/>
      <c r="LN10" s="236"/>
      <c r="LO10" s="236"/>
      <c r="LP10" s="236"/>
      <c r="LQ10" s="236"/>
      <c r="LR10" s="236"/>
      <c r="LS10" s="236"/>
      <c r="LT10" s="236"/>
      <c r="LU10" s="236"/>
      <c r="LV10" s="236"/>
      <c r="LW10" s="236"/>
      <c r="LX10" s="236"/>
      <c r="LY10" s="236"/>
      <c r="LZ10" s="236"/>
      <c r="MA10" s="236"/>
      <c r="MB10" s="236"/>
      <c r="MC10" s="236"/>
      <c r="MD10" s="236"/>
      <c r="ME10" s="236"/>
      <c r="MF10" s="236"/>
      <c r="MG10" s="236"/>
      <c r="MH10" s="236"/>
      <c r="MI10" s="236"/>
      <c r="MJ10" s="236"/>
      <c r="MK10" s="236"/>
      <c r="ML10" s="236"/>
      <c r="MM10" s="236"/>
      <c r="MN10" s="236"/>
      <c r="MO10" s="236"/>
      <c r="MP10" s="236"/>
      <c r="MQ10" s="236"/>
      <c r="MR10" s="236"/>
      <c r="MS10" s="236"/>
      <c r="MT10" s="236"/>
      <c r="MU10" s="236"/>
      <c r="MV10" s="236"/>
      <c r="MW10" s="236"/>
      <c r="MX10" s="236"/>
      <c r="MY10" s="236"/>
      <c r="MZ10" s="236"/>
      <c r="NA10" s="236"/>
      <c r="NB10" s="236"/>
      <c r="NC10" s="236"/>
      <c r="ND10" s="236"/>
      <c r="NE10" s="236"/>
      <c r="NF10" s="236"/>
      <c r="NG10" s="236"/>
      <c r="NH10" s="236"/>
      <c r="NI10" s="236"/>
      <c r="NJ10" s="236"/>
      <c r="NK10" s="236"/>
      <c r="NL10" s="236"/>
      <c r="NM10" s="236"/>
      <c r="NN10" s="236"/>
      <c r="NO10" s="236"/>
      <c r="NP10" s="236"/>
      <c r="NQ10" s="236"/>
      <c r="NR10" s="236"/>
      <c r="NS10" s="236"/>
      <c r="NT10" s="236"/>
      <c r="NU10" s="236"/>
      <c r="NV10" s="236"/>
      <c r="NW10" s="236"/>
      <c r="NX10" s="236"/>
      <c r="NY10" s="236"/>
      <c r="NZ10" s="236"/>
      <c r="OA10" s="236"/>
      <c r="OB10" s="236"/>
      <c r="OC10" s="236"/>
      <c r="OD10" s="236"/>
      <c r="OE10" s="236"/>
      <c r="OF10" s="236"/>
      <c r="OG10" s="236"/>
      <c r="OH10" s="236"/>
      <c r="OI10" s="236"/>
      <c r="OJ10" s="236"/>
      <c r="OK10" s="236"/>
      <c r="OL10" s="236"/>
      <c r="OM10" s="236"/>
      <c r="ON10" s="236"/>
      <c r="OO10" s="236"/>
      <c r="OP10" s="236"/>
      <c r="OQ10" s="236"/>
      <c r="OR10" s="236"/>
      <c r="OS10" s="236"/>
      <c r="OT10" s="236"/>
      <c r="OU10" s="236"/>
      <c r="OV10" s="236"/>
      <c r="OW10" s="236"/>
      <c r="OX10" s="236"/>
      <c r="OY10" s="236"/>
      <c r="OZ10" s="236"/>
      <c r="PA10" s="236"/>
      <c r="PB10" s="236"/>
      <c r="PC10" s="236"/>
      <c r="PD10" s="236"/>
      <c r="PE10" s="236"/>
      <c r="PF10" s="236"/>
      <c r="PG10" s="236"/>
      <c r="PH10" s="236"/>
      <c r="PI10" s="236"/>
      <c r="PJ10" s="236"/>
      <c r="PK10" s="236"/>
      <c r="PL10" s="236"/>
      <c r="PM10" s="236"/>
      <c r="PN10" s="236"/>
      <c r="PO10" s="236"/>
      <c r="PP10" s="236"/>
      <c r="PQ10" s="236"/>
      <c r="PR10" s="236"/>
      <c r="PS10" s="236"/>
      <c r="PT10" s="236"/>
      <c r="PU10" s="236"/>
      <c r="PV10" s="236"/>
      <c r="PW10" s="236"/>
      <c r="PX10" s="236"/>
      <c r="PY10" s="236"/>
      <c r="PZ10" s="236"/>
      <c r="QA10" s="236"/>
      <c r="QB10" s="236"/>
      <c r="QC10" s="236"/>
      <c r="QD10" s="236"/>
      <c r="QE10" s="236"/>
      <c r="QF10" s="236"/>
      <c r="QG10" s="236"/>
      <c r="QH10" s="236"/>
      <c r="QI10" s="236"/>
      <c r="QJ10" s="236"/>
      <c r="QK10" s="236"/>
      <c r="QL10" s="236"/>
      <c r="QM10" s="236"/>
      <c r="QN10" s="236"/>
      <c r="QO10" s="236"/>
      <c r="QP10" s="236"/>
      <c r="QQ10" s="236"/>
      <c r="QR10" s="236"/>
      <c r="QS10" s="236"/>
      <c r="QT10" s="236"/>
      <c r="QU10" s="236"/>
      <c r="QV10" s="236"/>
      <c r="QW10" s="236"/>
      <c r="QX10" s="236"/>
      <c r="QY10" s="236"/>
      <c r="QZ10" s="236"/>
      <c r="RA10" s="236"/>
      <c r="RB10" s="236"/>
      <c r="RC10" s="236"/>
      <c r="RD10" s="236"/>
      <c r="RE10" s="236"/>
      <c r="RF10" s="236"/>
      <c r="RG10" s="236"/>
      <c r="RH10" s="236"/>
      <c r="RI10" s="236"/>
      <c r="RJ10" s="236"/>
      <c r="RK10" s="236"/>
      <c r="RL10" s="236"/>
      <c r="RM10" s="236"/>
      <c r="RN10" s="236"/>
      <c r="RO10" s="236"/>
      <c r="RP10" s="236"/>
      <c r="RQ10" s="236"/>
      <c r="RR10" s="236"/>
      <c r="RS10" s="236"/>
      <c r="RT10" s="236"/>
      <c r="RU10" s="236"/>
      <c r="RV10" s="236"/>
      <c r="RW10" s="236"/>
      <c r="RX10" s="236"/>
      <c r="RY10" s="236"/>
      <c r="RZ10" s="236"/>
      <c r="SA10" s="236"/>
      <c r="SB10" s="236"/>
      <c r="SC10" s="236"/>
      <c r="SD10" s="236"/>
      <c r="SE10" s="236"/>
      <c r="SF10" s="236"/>
      <c r="SG10" s="236"/>
      <c r="SH10" s="236"/>
      <c r="SI10" s="236"/>
      <c r="SJ10" s="236"/>
      <c r="SK10" s="236"/>
      <c r="SL10" s="236"/>
      <c r="SM10" s="236"/>
      <c r="SN10" s="236"/>
      <c r="SO10" s="236"/>
      <c r="SP10" s="236"/>
      <c r="SQ10" s="236"/>
      <c r="SR10" s="236"/>
      <c r="SS10" s="236"/>
      <c r="ST10" s="236"/>
      <c r="SU10" s="236"/>
      <c r="SV10" s="236"/>
      <c r="SW10" s="236"/>
      <c r="SX10" s="236"/>
      <c r="SY10" s="236"/>
      <c r="SZ10" s="236"/>
      <c r="TA10" s="236"/>
      <c r="TB10" s="236"/>
      <c r="TC10" s="236"/>
      <c r="TD10" s="236"/>
      <c r="TE10" s="236"/>
      <c r="TF10" s="236"/>
      <c r="TG10" s="236"/>
      <c r="TH10" s="236"/>
      <c r="TI10" s="236"/>
      <c r="TJ10" s="236"/>
      <c r="TK10" s="236"/>
      <c r="TL10" s="236"/>
      <c r="TM10" s="236"/>
      <c r="TN10" s="236"/>
      <c r="TO10" s="236"/>
      <c r="TP10" s="236"/>
      <c r="TQ10" s="236"/>
      <c r="TR10" s="236"/>
      <c r="TS10" s="236"/>
      <c r="TT10" s="236"/>
      <c r="TU10" s="236"/>
      <c r="TV10" s="236"/>
      <c r="TW10" s="236"/>
      <c r="TX10" s="236"/>
      <c r="TY10" s="236"/>
      <c r="TZ10" s="236"/>
      <c r="UA10" s="236"/>
      <c r="UB10" s="236"/>
      <c r="UC10" s="236"/>
      <c r="UD10" s="236"/>
      <c r="UE10" s="236"/>
      <c r="UF10" s="236"/>
      <c r="UG10" s="236"/>
      <c r="UH10" s="236"/>
      <c r="UI10" s="236"/>
      <c r="UJ10" s="236"/>
      <c r="UK10" s="236"/>
      <c r="UL10" s="236"/>
      <c r="UM10" s="236"/>
      <c r="UN10" s="236"/>
      <c r="UO10" s="236"/>
      <c r="UP10" s="236"/>
      <c r="UQ10" s="236"/>
      <c r="UR10" s="236"/>
      <c r="US10" s="236"/>
      <c r="UT10" s="236"/>
      <c r="UU10" s="236"/>
      <c r="UV10" s="236"/>
      <c r="UW10" s="236"/>
      <c r="UX10" s="236"/>
      <c r="UY10" s="236"/>
      <c r="UZ10" s="236"/>
      <c r="VA10" s="236"/>
      <c r="VB10" s="236"/>
      <c r="VC10" s="236"/>
      <c r="VD10" s="236"/>
      <c r="VE10" s="236"/>
      <c r="VF10" s="236"/>
      <c r="VG10" s="236"/>
      <c r="VH10" s="236"/>
      <c r="VI10" s="236"/>
      <c r="VJ10" s="236"/>
      <c r="VK10" s="236"/>
      <c r="VL10" s="236"/>
      <c r="VM10" s="236"/>
      <c r="VN10" s="236"/>
      <c r="VO10" s="236"/>
      <c r="VP10" s="236"/>
      <c r="VQ10" s="236"/>
      <c r="VR10" s="236"/>
      <c r="VS10" s="236"/>
      <c r="VT10" s="236"/>
      <c r="VU10" s="236"/>
      <c r="VV10" s="236"/>
      <c r="VW10" s="236"/>
      <c r="VX10" s="236"/>
      <c r="VY10" s="236"/>
      <c r="VZ10" s="236"/>
      <c r="WA10" s="236"/>
      <c r="WB10" s="236"/>
      <c r="WC10" s="236"/>
      <c r="WD10" s="236"/>
      <c r="WE10" s="236"/>
      <c r="WF10" s="236"/>
      <c r="WG10" s="236"/>
      <c r="WH10" s="236"/>
      <c r="WI10" s="236"/>
      <c r="WJ10" s="236"/>
      <c r="WK10" s="236"/>
      <c r="WL10" s="236"/>
      <c r="WM10" s="236"/>
      <c r="WN10" s="236"/>
      <c r="WO10" s="236"/>
      <c r="WP10" s="236"/>
      <c r="WQ10" s="236"/>
      <c r="WR10" s="236"/>
      <c r="WS10" s="236"/>
      <c r="WT10" s="236"/>
      <c r="WU10" s="236"/>
      <c r="WV10" s="236"/>
      <c r="WW10" s="236"/>
      <c r="WX10" s="236"/>
      <c r="WY10" s="236"/>
      <c r="WZ10" s="236"/>
      <c r="XA10" s="236"/>
      <c r="XB10" s="236"/>
      <c r="XC10" s="236"/>
      <c r="XD10" s="236"/>
      <c r="XE10" s="236"/>
      <c r="XF10" s="236"/>
      <c r="XG10" s="236"/>
      <c r="XH10" s="236"/>
      <c r="XI10" s="236"/>
      <c r="XJ10" s="236"/>
      <c r="XK10" s="236"/>
      <c r="XL10" s="236"/>
      <c r="XM10" s="236"/>
      <c r="XN10" s="236"/>
      <c r="XO10" s="236"/>
      <c r="XP10" s="236"/>
      <c r="XQ10" s="236"/>
      <c r="XR10" s="236"/>
      <c r="XS10" s="236"/>
      <c r="XT10" s="236"/>
      <c r="XU10" s="236"/>
      <c r="XV10" s="236"/>
      <c r="XW10" s="236"/>
      <c r="XX10" s="236"/>
      <c r="XY10" s="236"/>
      <c r="XZ10" s="236"/>
      <c r="YA10" s="236"/>
      <c r="YB10" s="236"/>
      <c r="YC10" s="236"/>
      <c r="YD10" s="236"/>
      <c r="YE10" s="236"/>
      <c r="YF10" s="236"/>
      <c r="YG10" s="236"/>
      <c r="YH10" s="236"/>
      <c r="YI10" s="236"/>
      <c r="YJ10" s="236"/>
      <c r="YK10" s="236"/>
      <c r="YL10" s="236"/>
      <c r="YM10" s="236"/>
      <c r="YN10" s="236"/>
      <c r="YO10" s="236"/>
      <c r="YP10" s="236"/>
      <c r="YQ10" s="236"/>
      <c r="YR10" s="236"/>
      <c r="YS10" s="236"/>
      <c r="YT10" s="236"/>
      <c r="YU10" s="236"/>
      <c r="YV10" s="236"/>
      <c r="YW10" s="236"/>
      <c r="YX10" s="236"/>
      <c r="YY10" s="236"/>
      <c r="YZ10" s="236"/>
      <c r="ZA10" s="236"/>
      <c r="ZB10" s="236"/>
      <c r="ZC10" s="236"/>
      <c r="ZD10" s="236"/>
      <c r="ZE10" s="236"/>
      <c r="ZF10" s="236"/>
      <c r="ZG10" s="236"/>
      <c r="ZH10" s="236"/>
      <c r="ZI10" s="236"/>
      <c r="ZJ10" s="236"/>
      <c r="ZK10" s="236"/>
      <c r="ZL10" s="236"/>
      <c r="ZM10" s="236"/>
      <c r="ZN10" s="236"/>
      <c r="ZO10" s="236"/>
      <c r="ZP10" s="236"/>
      <c r="ZQ10" s="236"/>
      <c r="ZR10" s="236"/>
      <c r="ZS10" s="236"/>
      <c r="ZT10" s="236"/>
      <c r="ZU10" s="236"/>
      <c r="ZV10" s="236"/>
      <c r="ZW10" s="236"/>
      <c r="ZX10" s="236"/>
      <c r="ZY10" s="236"/>
      <c r="ZZ10" s="236"/>
      <c r="AAA10" s="236"/>
      <c r="AAB10" s="236"/>
      <c r="AAC10" s="236"/>
      <c r="AAD10" s="236"/>
      <c r="AAE10" s="236"/>
      <c r="AAF10" s="236"/>
      <c r="AAG10" s="236"/>
      <c r="AAH10" s="236"/>
      <c r="AAI10" s="236"/>
      <c r="AAJ10" s="236"/>
      <c r="AAK10" s="236"/>
      <c r="AAL10" s="236"/>
      <c r="AAM10" s="236"/>
      <c r="AAN10" s="236"/>
      <c r="AAO10" s="236"/>
      <c r="AAP10" s="236"/>
      <c r="AAQ10" s="236"/>
      <c r="AAR10" s="236"/>
      <c r="AAS10" s="236"/>
      <c r="AAT10" s="236"/>
      <c r="AAU10" s="236"/>
      <c r="AAV10" s="236"/>
      <c r="AAW10" s="236"/>
      <c r="AAX10" s="236"/>
      <c r="AAY10" s="236"/>
      <c r="AAZ10" s="236"/>
      <c r="ABA10" s="236"/>
      <c r="ABB10" s="236"/>
      <c r="ABC10" s="236"/>
      <c r="ABD10" s="236"/>
      <c r="ABE10" s="236"/>
      <c r="ABF10" s="236"/>
      <c r="ABG10" s="236"/>
      <c r="ABH10" s="236"/>
      <c r="ABI10" s="236"/>
      <c r="ABJ10" s="236"/>
      <c r="ABK10" s="236"/>
      <c r="ABL10" s="236"/>
      <c r="ABM10" s="236"/>
      <c r="ABN10" s="236"/>
      <c r="ABO10" s="236"/>
      <c r="ABP10" s="236"/>
      <c r="ABQ10" s="236"/>
      <c r="ABR10" s="236"/>
      <c r="ABS10" s="236"/>
      <c r="ABT10" s="236"/>
      <c r="ABU10" s="236"/>
      <c r="ABV10" s="236"/>
      <c r="ABW10" s="236"/>
      <c r="ABX10" s="236"/>
      <c r="ABY10" s="236"/>
      <c r="ABZ10" s="236"/>
      <c r="ACA10" s="236"/>
      <c r="ACB10" s="236"/>
      <c r="ACC10" s="236"/>
      <c r="ACD10" s="236"/>
      <c r="ACE10" s="236"/>
      <c r="ACF10" s="236"/>
      <c r="ACG10" s="236"/>
      <c r="ACH10" s="236"/>
      <c r="ACI10" s="236"/>
      <c r="ACJ10" s="236"/>
      <c r="ACK10" s="236"/>
      <c r="ACL10" s="236"/>
      <c r="ACM10" s="236"/>
      <c r="ACN10" s="236"/>
      <c r="ACO10" s="236"/>
      <c r="ACP10" s="236"/>
      <c r="ACQ10" s="236"/>
      <c r="ACR10" s="236"/>
      <c r="ACS10" s="236"/>
      <c r="ACT10" s="236"/>
      <c r="ACU10" s="236"/>
      <c r="ACV10" s="236"/>
      <c r="ACW10" s="236"/>
      <c r="ACX10" s="236"/>
      <c r="ACY10" s="236"/>
      <c r="ACZ10" s="236"/>
      <c r="ADA10" s="236"/>
      <c r="ADB10" s="236"/>
      <c r="ADC10" s="236"/>
      <c r="ADD10" s="236"/>
      <c r="ADE10" s="236"/>
      <c r="ADF10" s="236"/>
      <c r="ADG10" s="236"/>
      <c r="ADH10" s="236"/>
      <c r="ADI10" s="236"/>
      <c r="ADJ10" s="236"/>
      <c r="ADK10" s="236"/>
      <c r="ADL10" s="236"/>
      <c r="ADM10" s="236"/>
      <c r="ADN10" s="236"/>
      <c r="ADO10" s="236"/>
      <c r="ADP10" s="236"/>
      <c r="ADQ10" s="236"/>
      <c r="ADR10" s="236"/>
      <c r="ADS10" s="236"/>
      <c r="ADT10" s="236"/>
      <c r="ADU10" s="236"/>
      <c r="ADV10" s="236"/>
      <c r="ADW10" s="236"/>
      <c r="ADX10" s="236"/>
      <c r="ADY10" s="236"/>
      <c r="ADZ10" s="236"/>
      <c r="AEA10" s="236"/>
      <c r="AEB10" s="236"/>
      <c r="AEC10" s="236"/>
      <c r="AED10" s="236"/>
      <c r="AEE10" s="236"/>
      <c r="AEF10" s="236"/>
      <c r="AEG10" s="236"/>
      <c r="AEH10" s="236"/>
      <c r="AEI10" s="236"/>
      <c r="AEJ10" s="236"/>
      <c r="AEK10" s="236"/>
      <c r="AEL10" s="236"/>
      <c r="AEM10" s="236"/>
      <c r="AEN10" s="236"/>
      <c r="AEO10" s="236"/>
      <c r="AEP10" s="236"/>
      <c r="AEQ10" s="236"/>
      <c r="AER10" s="236"/>
      <c r="AES10" s="236"/>
      <c r="AET10" s="236"/>
      <c r="AEU10" s="236"/>
      <c r="AEV10" s="236"/>
      <c r="AEW10" s="236"/>
      <c r="AEX10" s="236"/>
      <c r="AEY10" s="236"/>
      <c r="AEZ10" s="236"/>
      <c r="AFA10" s="236"/>
      <c r="AFB10" s="236"/>
      <c r="AFC10" s="236"/>
      <c r="AFD10" s="236"/>
      <c r="AFE10" s="236"/>
      <c r="AFF10" s="236"/>
      <c r="AFG10" s="236"/>
      <c r="AFH10" s="236"/>
      <c r="AFI10" s="236"/>
      <c r="AFJ10" s="236"/>
      <c r="AFK10" s="236"/>
      <c r="AFL10" s="236"/>
      <c r="AFM10" s="236"/>
      <c r="AFN10" s="236"/>
      <c r="AFO10" s="236"/>
      <c r="AFP10" s="236"/>
      <c r="AFQ10" s="236"/>
      <c r="AFR10" s="236"/>
      <c r="AFS10" s="236"/>
      <c r="AFT10" s="236"/>
      <c r="AFU10" s="236"/>
      <c r="AFV10" s="236"/>
      <c r="AFW10" s="236"/>
      <c r="AFX10" s="236"/>
      <c r="AFY10" s="236"/>
      <c r="AFZ10" s="236"/>
      <c r="AGA10" s="236"/>
      <c r="AGB10" s="236"/>
      <c r="AGC10" s="236"/>
      <c r="AGD10" s="236"/>
      <c r="AGE10" s="236"/>
      <c r="AGF10" s="236"/>
      <c r="AGG10" s="236"/>
      <c r="AGH10" s="236"/>
      <c r="AGI10" s="236"/>
      <c r="AGJ10" s="236"/>
      <c r="AGK10" s="236"/>
      <c r="AGL10" s="236"/>
      <c r="AGM10" s="236"/>
      <c r="AGN10" s="236"/>
      <c r="AGO10" s="236"/>
      <c r="AGP10" s="236"/>
      <c r="AGQ10" s="236"/>
      <c r="AGR10" s="236"/>
      <c r="AGS10" s="236"/>
      <c r="AGT10" s="236"/>
      <c r="AGU10" s="236"/>
      <c r="AGV10" s="236"/>
      <c r="AGW10" s="236"/>
      <c r="AGX10" s="236"/>
      <c r="AGY10" s="236"/>
      <c r="AGZ10" s="236"/>
      <c r="AHA10" s="236"/>
      <c r="AHB10" s="236"/>
      <c r="AHC10" s="236"/>
      <c r="AHD10" s="236"/>
      <c r="AHE10" s="236"/>
      <c r="AHF10" s="236"/>
      <c r="AHG10" s="236"/>
      <c r="AHH10" s="236"/>
      <c r="AHI10" s="236"/>
      <c r="AHJ10" s="236"/>
      <c r="AHK10" s="236"/>
      <c r="AHL10" s="236"/>
      <c r="AHM10" s="236"/>
      <c r="AHN10" s="236"/>
      <c r="AHO10" s="236"/>
      <c r="AHP10" s="236"/>
      <c r="AHQ10" s="236"/>
      <c r="AHR10" s="236"/>
      <c r="AHS10" s="236"/>
      <c r="AHT10" s="236"/>
      <c r="AHU10" s="236"/>
      <c r="AHV10" s="236"/>
      <c r="AHW10" s="236"/>
      <c r="AHX10" s="236"/>
      <c r="AHY10" s="236"/>
      <c r="AHZ10" s="236"/>
      <c r="AIA10" s="236"/>
      <c r="AIB10" s="236"/>
      <c r="AIC10" s="236"/>
      <c r="AID10" s="236"/>
      <c r="AIE10" s="236"/>
      <c r="AIF10" s="236"/>
      <c r="AIG10" s="236"/>
      <c r="AIH10" s="236"/>
      <c r="AII10" s="236"/>
      <c r="AIJ10" s="236"/>
      <c r="AIK10" s="236"/>
      <c r="AIL10" s="236"/>
      <c r="AIM10" s="236"/>
      <c r="AIN10" s="236"/>
      <c r="AIO10" s="236"/>
      <c r="AIP10" s="236"/>
      <c r="AIQ10" s="236"/>
      <c r="AIR10" s="236"/>
      <c r="AIS10" s="236"/>
      <c r="AIT10" s="236"/>
      <c r="AIU10" s="236"/>
      <c r="AIV10" s="236"/>
      <c r="AIW10" s="236"/>
      <c r="AIX10" s="236"/>
      <c r="AIY10" s="236"/>
      <c r="AIZ10" s="236"/>
      <c r="AJA10" s="236"/>
      <c r="AJB10" s="236"/>
      <c r="AJC10" s="236"/>
      <c r="AJD10" s="236"/>
      <c r="AJE10" s="236"/>
      <c r="AJF10" s="236"/>
      <c r="AJG10" s="236"/>
      <c r="AJH10" s="236"/>
      <c r="AJI10" s="236"/>
      <c r="AJJ10" s="236"/>
      <c r="AJK10" s="236"/>
      <c r="AJL10" s="236"/>
      <c r="AJM10" s="236"/>
      <c r="AJN10" s="236"/>
      <c r="AJO10" s="236"/>
      <c r="AJP10" s="236"/>
      <c r="AJQ10" s="236"/>
      <c r="AJR10" s="236"/>
      <c r="AJS10" s="236"/>
      <c r="AJT10" s="236"/>
      <c r="AJU10" s="236"/>
      <c r="AJV10" s="236"/>
      <c r="AJW10" s="236"/>
      <c r="AJX10" s="236"/>
      <c r="AJY10" s="236"/>
      <c r="AJZ10" s="236"/>
      <c r="AKA10" s="236"/>
      <c r="AKB10" s="236"/>
      <c r="AKC10" s="236"/>
      <c r="AKD10" s="236"/>
      <c r="AKE10" s="236"/>
      <c r="AKF10" s="236"/>
      <c r="AKG10" s="236"/>
      <c r="AKH10" s="236"/>
      <c r="AKI10" s="236"/>
      <c r="AKJ10" s="236"/>
      <c r="AKK10" s="236"/>
      <c r="AKL10" s="236"/>
      <c r="AKM10" s="236"/>
      <c r="AKN10" s="236"/>
      <c r="AKO10" s="236"/>
      <c r="AKP10" s="236"/>
      <c r="AKQ10" s="236"/>
      <c r="AKR10" s="236"/>
      <c r="AKS10" s="236"/>
      <c r="AKT10" s="236"/>
      <c r="AKU10" s="236"/>
      <c r="AKV10" s="236"/>
      <c r="AKW10" s="236"/>
      <c r="AKX10" s="236"/>
      <c r="AKY10" s="236"/>
      <c r="AKZ10" s="236"/>
      <c r="ALA10" s="236"/>
      <c r="ALB10" s="236"/>
      <c r="ALC10" s="236"/>
      <c r="ALD10" s="236"/>
      <c r="ALE10" s="236"/>
      <c r="ALF10" s="236"/>
      <c r="ALG10" s="236"/>
      <c r="ALH10" s="236"/>
      <c r="ALI10" s="236"/>
      <c r="ALJ10" s="236"/>
      <c r="ALK10" s="236"/>
      <c r="ALL10" s="236"/>
      <c r="ALM10" s="236"/>
      <c r="ALN10" s="236"/>
      <c r="ALO10" s="236"/>
      <c r="ALP10" s="236"/>
      <c r="ALQ10" s="236"/>
      <c r="ALR10" s="236"/>
      <c r="ALS10" s="236"/>
      <c r="ALT10" s="236"/>
      <c r="ALU10" s="236"/>
      <c r="ALV10" s="236"/>
      <c r="ALW10" s="236"/>
      <c r="ALX10" s="236"/>
      <c r="ALY10" s="236"/>
      <c r="ALZ10" s="236"/>
      <c r="AMA10" s="236"/>
      <c r="AMB10" s="236"/>
      <c r="AMC10" s="236"/>
      <c r="AMD10" s="236"/>
      <c r="AME10" s="236"/>
      <c r="AMF10" s="236"/>
      <c r="AMG10" s="236"/>
      <c r="AMH10" s="236"/>
      <c r="AMI10" s="236"/>
      <c r="AMJ10" s="236"/>
      <c r="AMK10" s="236"/>
      <c r="AML10" s="236"/>
      <c r="AMM10" s="236"/>
      <c r="AMN10" s="236"/>
      <c r="AMO10" s="236"/>
      <c r="AMP10" s="236"/>
      <c r="AMQ10" s="236"/>
      <c r="AMR10" s="236"/>
      <c r="AMS10" s="236"/>
      <c r="AMT10" s="236"/>
      <c r="AMU10" s="236"/>
      <c r="AMV10" s="236"/>
      <c r="AMW10" s="236"/>
      <c r="AMX10" s="236"/>
      <c r="AMY10" s="236"/>
      <c r="AMZ10" s="236"/>
      <c r="ANA10" s="236"/>
      <c r="ANB10" s="236"/>
      <c r="ANC10" s="236"/>
      <c r="AND10" s="236"/>
      <c r="ANE10" s="236"/>
      <c r="ANF10" s="236"/>
      <c r="ANG10" s="236"/>
      <c r="ANH10" s="236"/>
      <c r="ANI10" s="236"/>
      <c r="ANJ10" s="236"/>
      <c r="ANK10" s="236"/>
      <c r="ANL10" s="236"/>
      <c r="ANM10" s="236"/>
      <c r="ANN10" s="236"/>
      <c r="ANO10" s="236"/>
      <c r="ANP10" s="236"/>
      <c r="ANQ10" s="236"/>
      <c r="ANR10" s="236"/>
      <c r="ANS10" s="236"/>
      <c r="ANT10" s="236"/>
      <c r="ANU10" s="236"/>
      <c r="ANV10" s="236"/>
      <c r="ANW10" s="236"/>
      <c r="ANX10" s="236"/>
      <c r="ANY10" s="236"/>
      <c r="ANZ10" s="236"/>
      <c r="AOA10" s="236"/>
      <c r="AOB10" s="236"/>
      <c r="AOC10" s="236"/>
      <c r="AOD10" s="236"/>
      <c r="AOE10" s="236"/>
      <c r="AOF10" s="236"/>
      <c r="AOG10" s="236"/>
      <c r="AOH10" s="236"/>
      <c r="AOI10" s="236"/>
      <c r="AOJ10" s="236"/>
      <c r="AOK10" s="236"/>
      <c r="AOL10" s="236"/>
      <c r="AOM10" s="236"/>
      <c r="AON10" s="236"/>
      <c r="AOO10" s="236"/>
      <c r="AOP10" s="236"/>
      <c r="AOQ10" s="236"/>
      <c r="AOR10" s="236"/>
      <c r="AOS10" s="236"/>
      <c r="AOT10" s="236"/>
      <c r="AOU10" s="236"/>
      <c r="AOV10" s="236"/>
      <c r="AOW10" s="236"/>
      <c r="AOX10" s="236"/>
      <c r="AOY10" s="236"/>
      <c r="AOZ10" s="236"/>
      <c r="APA10" s="236"/>
      <c r="APB10" s="236"/>
      <c r="APC10" s="236"/>
      <c r="APD10" s="236"/>
      <c r="APE10" s="236"/>
      <c r="APF10" s="236"/>
      <c r="APG10" s="236"/>
      <c r="APH10" s="236"/>
      <c r="API10" s="236"/>
      <c r="APJ10" s="236"/>
      <c r="APK10" s="236"/>
      <c r="APL10" s="236"/>
      <c r="APM10" s="236"/>
      <c r="APN10" s="236"/>
      <c r="APO10" s="236"/>
      <c r="APP10" s="236"/>
      <c r="APQ10" s="236"/>
      <c r="APR10" s="236"/>
      <c r="APS10" s="236"/>
      <c r="APT10" s="236"/>
      <c r="APU10" s="236"/>
      <c r="APV10" s="236"/>
      <c r="APW10" s="236"/>
      <c r="APX10" s="236"/>
      <c r="APY10" s="236"/>
      <c r="APZ10" s="236"/>
      <c r="AQA10" s="236"/>
      <c r="AQB10" s="236"/>
      <c r="AQC10" s="236"/>
      <c r="AQD10" s="236"/>
      <c r="AQE10" s="236"/>
      <c r="AQF10" s="236"/>
      <c r="AQG10" s="236"/>
      <c r="AQH10" s="236"/>
      <c r="AQI10" s="236"/>
      <c r="AQJ10" s="236"/>
      <c r="AQK10" s="236"/>
      <c r="AQL10" s="236"/>
      <c r="AQM10" s="236"/>
      <c r="AQN10" s="236"/>
      <c r="AQO10" s="236"/>
      <c r="AQP10" s="236"/>
      <c r="AQQ10" s="236"/>
      <c r="AQR10" s="236"/>
      <c r="AQS10" s="236"/>
      <c r="AQT10" s="236"/>
      <c r="AQU10" s="236"/>
      <c r="AQV10" s="236"/>
      <c r="AQW10" s="236"/>
      <c r="AQX10" s="236"/>
      <c r="AQY10" s="236"/>
      <c r="AQZ10" s="236"/>
      <c r="ARA10" s="236"/>
      <c r="ARB10" s="236"/>
      <c r="ARC10" s="236"/>
      <c r="ARD10" s="236"/>
      <c r="ARE10" s="236"/>
      <c r="ARF10" s="236"/>
      <c r="ARG10" s="236"/>
      <c r="ARH10" s="236"/>
      <c r="ARI10" s="236"/>
      <c r="ARJ10" s="236"/>
      <c r="ARK10" s="236"/>
      <c r="ARL10" s="236"/>
      <c r="ARM10" s="236"/>
      <c r="ARN10" s="236"/>
      <c r="ARO10" s="236"/>
      <c r="ARP10" s="236"/>
      <c r="ARQ10" s="236"/>
      <c r="ARR10" s="236"/>
      <c r="ARS10" s="236"/>
      <c r="ART10" s="236"/>
      <c r="ARU10" s="236"/>
      <c r="ARV10" s="236"/>
      <c r="ARW10" s="236"/>
      <c r="ARX10" s="236"/>
      <c r="ARY10" s="236"/>
      <c r="ARZ10" s="236"/>
      <c r="ASA10" s="236"/>
      <c r="ASB10" s="236"/>
      <c r="ASC10" s="236"/>
      <c r="ASD10" s="236"/>
      <c r="ASE10" s="236"/>
      <c r="ASF10" s="236"/>
      <c r="ASG10" s="236"/>
      <c r="ASH10" s="236"/>
      <c r="ASI10" s="236"/>
      <c r="ASJ10" s="236"/>
      <c r="ASK10" s="236"/>
      <c r="ASL10" s="236"/>
      <c r="ASM10" s="236"/>
      <c r="ASN10" s="236"/>
      <c r="ASO10" s="236"/>
      <c r="ASP10" s="236"/>
      <c r="ASQ10" s="236"/>
      <c r="ASR10" s="236"/>
      <c r="ASS10" s="236"/>
      <c r="AST10" s="236"/>
      <c r="ASU10" s="236"/>
      <c r="ASV10" s="236"/>
      <c r="ASW10" s="236"/>
      <c r="ASX10" s="236"/>
      <c r="ASY10" s="236"/>
      <c r="ASZ10" s="236"/>
      <c r="ATA10" s="236"/>
      <c r="ATB10" s="236"/>
      <c r="ATC10" s="236"/>
      <c r="ATD10" s="236"/>
      <c r="ATE10" s="236"/>
      <c r="ATF10" s="236"/>
      <c r="ATG10" s="236"/>
      <c r="ATH10" s="236"/>
      <c r="ATI10" s="236"/>
      <c r="ATJ10" s="236"/>
      <c r="ATK10" s="236"/>
      <c r="ATL10" s="236"/>
      <c r="ATM10" s="236"/>
      <c r="ATN10" s="236"/>
      <c r="ATO10" s="236"/>
      <c r="ATP10" s="236"/>
      <c r="ATQ10" s="236"/>
      <c r="ATR10" s="236"/>
      <c r="ATS10" s="236"/>
      <c r="ATT10" s="236"/>
      <c r="ATU10" s="236"/>
      <c r="ATV10" s="236"/>
      <c r="ATW10" s="236"/>
      <c r="ATX10" s="236"/>
      <c r="ATY10" s="236"/>
      <c r="ATZ10" s="236"/>
      <c r="AUA10" s="236"/>
      <c r="AUB10" s="236"/>
      <c r="AUC10" s="236"/>
      <c r="AUD10" s="236"/>
      <c r="AUE10" s="236"/>
      <c r="AUF10" s="236"/>
      <c r="AUG10" s="236"/>
      <c r="AUH10" s="236"/>
      <c r="AUI10" s="236"/>
      <c r="AUJ10" s="236"/>
      <c r="AUK10" s="236"/>
      <c r="AUL10" s="236"/>
      <c r="AUM10" s="236"/>
      <c r="AUN10" s="236"/>
      <c r="AUO10" s="236"/>
      <c r="AUP10" s="236"/>
      <c r="AUQ10" s="236"/>
      <c r="AUR10" s="236"/>
      <c r="AUS10" s="236"/>
      <c r="AUT10" s="236"/>
      <c r="AUU10" s="236"/>
      <c r="AUV10" s="236"/>
      <c r="AUW10" s="236"/>
      <c r="AUX10" s="236"/>
      <c r="AUY10" s="236"/>
      <c r="AUZ10" s="236"/>
      <c r="AVA10" s="236"/>
      <c r="AVB10" s="236"/>
      <c r="AVC10" s="236"/>
      <c r="AVD10" s="236"/>
      <c r="AVE10" s="236"/>
      <c r="AVF10" s="236"/>
      <c r="AVG10" s="236"/>
      <c r="AVH10" s="236"/>
      <c r="AVI10" s="236"/>
      <c r="AVJ10" s="236"/>
      <c r="AVK10" s="236"/>
      <c r="AVL10" s="236"/>
      <c r="AVM10" s="236"/>
      <c r="AVN10" s="236"/>
      <c r="AVO10" s="236"/>
      <c r="AVP10" s="236"/>
      <c r="AVQ10" s="236"/>
      <c r="AVR10" s="236"/>
      <c r="AVS10" s="236"/>
      <c r="AVT10" s="236"/>
      <c r="AVU10" s="236"/>
      <c r="AVV10" s="236"/>
      <c r="AVW10" s="236"/>
      <c r="AVX10" s="236"/>
      <c r="AVY10" s="236"/>
      <c r="AVZ10" s="236"/>
      <c r="AWA10" s="236"/>
      <c r="AWB10" s="236"/>
      <c r="AWC10" s="236"/>
      <c r="AWD10" s="236"/>
      <c r="AWE10" s="236"/>
      <c r="AWF10" s="236"/>
      <c r="AWG10" s="236"/>
      <c r="AWH10" s="236"/>
      <c r="AWI10" s="236"/>
      <c r="AWJ10" s="236"/>
      <c r="AWK10" s="236"/>
      <c r="AWL10" s="236"/>
      <c r="AWM10" s="236"/>
      <c r="AWN10" s="236"/>
      <c r="AWO10" s="236"/>
      <c r="AWP10" s="236"/>
      <c r="AWQ10" s="236"/>
      <c r="AWR10" s="236"/>
      <c r="AWS10" s="236"/>
      <c r="AWT10" s="236"/>
      <c r="AWU10" s="236"/>
      <c r="AWV10" s="236"/>
      <c r="AWW10" s="236"/>
      <c r="AWX10" s="236"/>
      <c r="AWY10" s="236"/>
      <c r="AWZ10" s="236"/>
      <c r="AXA10" s="236"/>
      <c r="AXB10" s="236"/>
      <c r="AXC10" s="236"/>
      <c r="AXD10" s="236"/>
      <c r="AXE10" s="236"/>
      <c r="AXF10" s="236"/>
      <c r="AXG10" s="236"/>
      <c r="AXH10" s="236"/>
      <c r="AXI10" s="236"/>
      <c r="AXJ10" s="236"/>
      <c r="AXK10" s="236"/>
      <c r="AXL10" s="236"/>
      <c r="AXM10" s="236"/>
      <c r="AXN10" s="236"/>
      <c r="AXO10" s="236"/>
      <c r="AXP10" s="236"/>
      <c r="AXQ10" s="236"/>
      <c r="AXR10" s="236"/>
      <c r="AXS10" s="236"/>
      <c r="AXT10" s="236"/>
      <c r="AXU10" s="236"/>
      <c r="AXV10" s="236"/>
      <c r="AXW10" s="236"/>
      <c r="AXX10" s="236"/>
      <c r="AXY10" s="236"/>
      <c r="AXZ10" s="236"/>
      <c r="AYA10" s="236"/>
      <c r="AYB10" s="236"/>
      <c r="AYC10" s="236"/>
      <c r="AYD10" s="236"/>
      <c r="AYE10" s="236"/>
      <c r="AYF10" s="236"/>
      <c r="AYG10" s="236"/>
      <c r="AYH10" s="236"/>
      <c r="AYI10" s="236"/>
      <c r="AYJ10" s="236"/>
      <c r="AYK10" s="236"/>
      <c r="AYL10" s="236"/>
      <c r="AYM10" s="236"/>
      <c r="AYN10" s="236"/>
      <c r="AYO10" s="236"/>
      <c r="AYP10" s="236"/>
      <c r="AYQ10" s="236"/>
      <c r="AYR10" s="236"/>
      <c r="AYS10" s="236"/>
      <c r="AYT10" s="236"/>
      <c r="AYU10" s="236"/>
      <c r="AYV10" s="236"/>
      <c r="AYW10" s="236"/>
      <c r="AYX10" s="236"/>
      <c r="AYY10" s="236"/>
      <c r="AYZ10" s="236"/>
      <c r="AZA10" s="236"/>
      <c r="AZB10" s="236"/>
      <c r="AZC10" s="236"/>
      <c r="AZD10" s="236"/>
      <c r="AZE10" s="236"/>
      <c r="AZF10" s="236"/>
      <c r="AZG10" s="236"/>
      <c r="AZH10" s="236"/>
      <c r="AZI10" s="236"/>
      <c r="AZJ10" s="236"/>
      <c r="AZK10" s="236"/>
      <c r="AZL10" s="236"/>
      <c r="AZM10" s="236"/>
      <c r="AZN10" s="236"/>
      <c r="AZO10" s="236"/>
      <c r="AZP10" s="236"/>
      <c r="AZQ10" s="236"/>
      <c r="AZR10" s="236"/>
      <c r="AZS10" s="236"/>
      <c r="AZT10" s="236"/>
      <c r="AZU10" s="236"/>
      <c r="AZV10" s="236"/>
      <c r="AZW10" s="236"/>
      <c r="AZX10" s="236"/>
      <c r="AZY10" s="236"/>
      <c r="AZZ10" s="236"/>
      <c r="BAA10" s="236"/>
      <c r="BAB10" s="236"/>
      <c r="BAC10" s="236"/>
      <c r="BAD10" s="236"/>
      <c r="BAE10" s="236"/>
      <c r="BAF10" s="236"/>
      <c r="BAG10" s="236"/>
      <c r="BAH10" s="236"/>
      <c r="BAI10" s="236"/>
      <c r="BAJ10" s="236"/>
      <c r="BAK10" s="236"/>
      <c r="BAL10" s="236"/>
      <c r="BAM10" s="236"/>
      <c r="BAN10" s="236"/>
      <c r="BAO10" s="236"/>
      <c r="BAP10" s="236"/>
      <c r="BAQ10" s="236"/>
      <c r="BAR10" s="236"/>
      <c r="BAS10" s="236"/>
      <c r="BAT10" s="236"/>
      <c r="BAU10" s="236"/>
      <c r="BAV10" s="236"/>
      <c r="BAW10" s="236"/>
      <c r="BAX10" s="236"/>
      <c r="BAY10" s="236"/>
      <c r="BAZ10" s="236"/>
      <c r="BBA10" s="236"/>
      <c r="BBB10" s="236"/>
      <c r="BBC10" s="236"/>
      <c r="BBD10" s="236"/>
      <c r="BBE10" s="236"/>
      <c r="BBF10" s="236"/>
      <c r="BBG10" s="236"/>
      <c r="BBH10" s="236"/>
      <c r="BBI10" s="236"/>
      <c r="BBJ10" s="236"/>
      <c r="BBK10" s="236"/>
      <c r="BBL10" s="236"/>
      <c r="BBM10" s="236"/>
      <c r="BBN10" s="236"/>
      <c r="BBO10" s="236"/>
      <c r="BBP10" s="236"/>
      <c r="BBQ10" s="236"/>
      <c r="BBR10" s="236"/>
      <c r="BBS10" s="236"/>
      <c r="BBT10" s="236"/>
      <c r="BBU10" s="236"/>
      <c r="BBV10" s="236"/>
      <c r="BBW10" s="236"/>
      <c r="BBX10" s="236"/>
      <c r="BBY10" s="236"/>
      <c r="BBZ10" s="236"/>
      <c r="BCA10" s="236"/>
      <c r="BCB10" s="236"/>
      <c r="BCC10" s="236"/>
      <c r="BCD10" s="236"/>
      <c r="BCE10" s="236"/>
      <c r="BCF10" s="236"/>
      <c r="BCG10" s="236"/>
      <c r="BCH10" s="236"/>
      <c r="BCI10" s="236"/>
      <c r="BCJ10" s="236"/>
      <c r="BCK10" s="236"/>
      <c r="BCL10" s="236"/>
      <c r="BCM10" s="236"/>
      <c r="BCN10" s="236"/>
      <c r="BCO10" s="236"/>
      <c r="BCP10" s="236"/>
      <c r="BCQ10" s="236"/>
      <c r="BCR10" s="236"/>
      <c r="BCS10" s="236"/>
      <c r="BCT10" s="236"/>
      <c r="BCU10" s="236"/>
      <c r="BCV10" s="236"/>
      <c r="BCW10" s="236"/>
      <c r="BCX10" s="236"/>
      <c r="BCY10" s="236"/>
      <c r="BCZ10" s="236"/>
      <c r="BDA10" s="236"/>
      <c r="BDB10" s="236"/>
      <c r="BDC10" s="236"/>
      <c r="BDD10" s="236"/>
      <c r="BDE10" s="236"/>
      <c r="BDF10" s="236"/>
      <c r="BDG10" s="236"/>
      <c r="BDH10" s="236"/>
      <c r="BDI10" s="236"/>
      <c r="BDJ10" s="236"/>
      <c r="BDK10" s="236"/>
      <c r="BDL10" s="236"/>
      <c r="BDM10" s="236"/>
      <c r="BDN10" s="236"/>
      <c r="BDO10" s="236"/>
      <c r="BDP10" s="236"/>
      <c r="BDQ10" s="236"/>
      <c r="BDR10" s="236"/>
      <c r="BDS10" s="236"/>
      <c r="BDT10" s="236"/>
      <c r="BDU10" s="236"/>
      <c r="BDV10" s="236"/>
      <c r="BDW10" s="236"/>
      <c r="BDX10" s="236"/>
      <c r="BDY10" s="236"/>
      <c r="BDZ10" s="236"/>
      <c r="BEA10" s="236"/>
      <c r="BEB10" s="236"/>
      <c r="BEC10" s="236"/>
      <c r="BED10" s="236"/>
      <c r="BEE10" s="236"/>
      <c r="BEF10" s="236"/>
      <c r="BEG10" s="236"/>
      <c r="BEH10" s="236"/>
      <c r="BEI10" s="236"/>
      <c r="BEJ10" s="236"/>
      <c r="BEK10" s="236"/>
      <c r="BEL10" s="236"/>
      <c r="BEM10" s="236"/>
      <c r="BEN10" s="236"/>
      <c r="BEO10" s="236"/>
      <c r="BEP10" s="236"/>
      <c r="BEQ10" s="236"/>
      <c r="BER10" s="236"/>
      <c r="BES10" s="236"/>
      <c r="BET10" s="236"/>
      <c r="BEU10" s="236"/>
      <c r="BEV10" s="236"/>
      <c r="BEW10" s="236"/>
      <c r="BEX10" s="236"/>
      <c r="BEY10" s="236"/>
      <c r="BEZ10" s="236"/>
      <c r="BFA10" s="236"/>
      <c r="BFB10" s="236"/>
      <c r="BFC10" s="236"/>
      <c r="BFD10" s="236"/>
      <c r="BFE10" s="236"/>
      <c r="BFF10" s="236"/>
      <c r="BFG10" s="236"/>
      <c r="BFH10" s="236"/>
      <c r="BFI10" s="236"/>
      <c r="BFJ10" s="236"/>
      <c r="BFK10" s="236"/>
      <c r="BFL10" s="236"/>
      <c r="BFM10" s="236"/>
      <c r="BFN10" s="236"/>
      <c r="BFO10" s="236"/>
      <c r="BFP10" s="236"/>
      <c r="BFQ10" s="236"/>
      <c r="BFR10" s="236"/>
      <c r="BFS10" s="236"/>
      <c r="BFT10" s="236"/>
      <c r="BFU10" s="236"/>
      <c r="BFV10" s="236"/>
      <c r="BFW10" s="236"/>
      <c r="BFX10" s="236"/>
      <c r="BFY10" s="236"/>
      <c r="BFZ10" s="236"/>
      <c r="BGA10" s="236"/>
      <c r="BGB10" s="236"/>
      <c r="BGC10" s="236"/>
      <c r="BGD10" s="236"/>
      <c r="BGE10" s="236"/>
      <c r="BGF10" s="236"/>
      <c r="BGG10" s="236"/>
      <c r="BGH10" s="236"/>
      <c r="BGI10" s="236"/>
      <c r="BGJ10" s="236"/>
      <c r="BGK10" s="236"/>
      <c r="BGL10" s="236"/>
      <c r="BGM10" s="236"/>
      <c r="BGN10" s="236"/>
      <c r="BGO10" s="236"/>
      <c r="BGP10" s="236"/>
      <c r="BGQ10" s="236"/>
      <c r="BGR10" s="236"/>
      <c r="BGS10" s="236"/>
      <c r="BGT10" s="236"/>
      <c r="BGU10" s="236"/>
      <c r="BGV10" s="236"/>
      <c r="BGW10" s="236"/>
      <c r="BGX10" s="236"/>
      <c r="BGY10" s="236"/>
      <c r="BGZ10" s="236"/>
      <c r="BHA10" s="236"/>
      <c r="BHB10" s="236"/>
      <c r="BHC10" s="236"/>
      <c r="BHD10" s="236"/>
      <c r="BHE10" s="236"/>
      <c r="BHF10" s="90"/>
    </row>
    <row r="11" spans="1:1566" ht="20.100000000000001" customHeight="1" x14ac:dyDescent="0.25">
      <c r="B11" s="96"/>
      <c r="C11" s="243"/>
      <c r="D11" s="243"/>
      <c r="E11" s="243"/>
      <c r="F11" s="247" t="s">
        <v>80</v>
      </c>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t="s">
        <v>80</v>
      </c>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M11" s="247"/>
      <c r="CN11" s="247"/>
      <c r="CO11" s="247"/>
      <c r="CP11" s="247"/>
      <c r="CQ11" s="247"/>
      <c r="CR11" s="247"/>
      <c r="CS11" s="247"/>
      <c r="CT11" s="247"/>
      <c r="CU11" s="247"/>
      <c r="CV11" s="247"/>
      <c r="CW11" s="247"/>
      <c r="CX11" s="247"/>
      <c r="CY11" s="247"/>
      <c r="CZ11" s="247"/>
      <c r="DA11" s="247"/>
      <c r="DB11" s="247"/>
      <c r="DC11" s="247"/>
      <c r="DD11" s="247"/>
      <c r="DE11" s="247"/>
      <c r="DF11" s="247"/>
      <c r="DG11" s="247"/>
      <c r="DH11" s="247"/>
      <c r="DI11" s="247"/>
      <c r="DJ11" s="247"/>
      <c r="DK11" s="247"/>
      <c r="DL11" s="247"/>
      <c r="DM11" s="247"/>
      <c r="DN11" s="247"/>
      <c r="DO11" s="247"/>
      <c r="DP11" s="247"/>
      <c r="DQ11" s="247"/>
      <c r="DR11" s="247"/>
      <c r="DS11" s="247"/>
      <c r="DT11" s="247"/>
      <c r="DU11" s="247"/>
      <c r="DV11" s="237" t="s">
        <v>79</v>
      </c>
      <c r="DW11" s="237"/>
      <c r="DX11" s="237"/>
      <c r="DY11" s="237"/>
      <c r="DZ11" s="237"/>
      <c r="EA11" s="237"/>
      <c r="EB11" s="237"/>
      <c r="EC11" s="237"/>
      <c r="ED11" s="237"/>
      <c r="EE11" s="237"/>
      <c r="EF11" s="237"/>
      <c r="EG11" s="237"/>
      <c r="EH11" s="237"/>
      <c r="EI11" s="237"/>
      <c r="EJ11" s="237"/>
      <c r="EK11" s="237"/>
      <c r="EL11" s="237"/>
      <c r="EM11" s="237"/>
      <c r="EN11" s="237"/>
      <c r="EO11" s="237"/>
      <c r="EP11" s="237"/>
      <c r="EQ11" s="237"/>
      <c r="ER11" s="237"/>
      <c r="ES11" s="237"/>
      <c r="ET11" s="237"/>
      <c r="EU11" s="237"/>
      <c r="EV11" s="237"/>
      <c r="EW11" s="237"/>
      <c r="EX11" s="237"/>
      <c r="EY11" s="237"/>
      <c r="EZ11" s="237"/>
      <c r="FA11" s="237"/>
      <c r="FB11" s="237"/>
      <c r="FC11" s="237"/>
      <c r="FD11" s="237"/>
      <c r="FE11" s="237"/>
      <c r="FF11" s="237"/>
      <c r="FG11" s="237"/>
      <c r="FH11" s="237"/>
      <c r="FI11" s="237"/>
      <c r="FJ11" s="237"/>
      <c r="FK11" s="237"/>
      <c r="FL11" s="237"/>
      <c r="FM11" s="237"/>
      <c r="FN11" s="237"/>
      <c r="FO11" s="237"/>
      <c r="FP11" s="237"/>
      <c r="FQ11" s="237"/>
      <c r="FR11" s="237"/>
      <c r="FS11" s="237"/>
      <c r="FT11" s="237"/>
      <c r="FU11" s="237"/>
      <c r="FV11" s="237"/>
      <c r="FW11" s="237"/>
      <c r="FX11" s="237"/>
      <c r="FY11" s="237"/>
      <c r="FZ11" s="237"/>
      <c r="GA11" s="237"/>
      <c r="GB11" s="237"/>
      <c r="GC11" s="237"/>
      <c r="GD11" s="237" t="s">
        <v>79</v>
      </c>
      <c r="GE11" s="237"/>
      <c r="GF11" s="237"/>
      <c r="GG11" s="237"/>
      <c r="GH11" s="237"/>
      <c r="GI11" s="237"/>
      <c r="GJ11" s="237"/>
      <c r="GK11" s="237"/>
      <c r="GL11" s="237"/>
      <c r="GM11" s="237"/>
      <c r="GN11" s="237"/>
      <c r="GO11" s="237"/>
      <c r="GP11" s="237"/>
      <c r="GQ11" s="237"/>
      <c r="GR11" s="237"/>
      <c r="GS11" s="237"/>
      <c r="GT11" s="237"/>
      <c r="GU11" s="237"/>
      <c r="GV11" s="237"/>
      <c r="GW11" s="237"/>
      <c r="GX11" s="237"/>
      <c r="GY11" s="237"/>
      <c r="GZ11" s="237"/>
      <c r="HA11" s="237"/>
      <c r="HB11" s="237"/>
      <c r="HC11" s="237"/>
      <c r="HD11" s="237"/>
      <c r="HE11" s="237"/>
      <c r="HF11" s="237"/>
      <c r="HG11" s="237"/>
      <c r="HH11" s="237"/>
      <c r="HI11" s="237"/>
      <c r="HJ11" s="237"/>
      <c r="HK11" s="237"/>
      <c r="HL11" s="237"/>
      <c r="HM11" s="237"/>
      <c r="HN11" s="237"/>
      <c r="HO11" s="237"/>
      <c r="HP11" s="237"/>
      <c r="HQ11" s="237"/>
      <c r="HR11" s="237"/>
      <c r="HS11" s="237"/>
      <c r="HT11" s="237"/>
      <c r="HU11" s="237"/>
      <c r="HV11" s="237"/>
      <c r="HW11" s="237"/>
      <c r="HX11" s="237"/>
      <c r="HY11" s="237"/>
      <c r="HZ11" s="237"/>
      <c r="IA11" s="237"/>
      <c r="IB11" s="237"/>
      <c r="IC11" s="237"/>
      <c r="ID11" s="237"/>
      <c r="IE11" s="237"/>
      <c r="IF11" s="237"/>
      <c r="IG11" s="237"/>
      <c r="IH11" s="237"/>
      <c r="II11" s="237"/>
      <c r="IJ11" s="237"/>
      <c r="IK11" s="237"/>
      <c r="IL11" s="237" t="s">
        <v>77</v>
      </c>
      <c r="IM11" s="237"/>
      <c r="IN11" s="237"/>
      <c r="IO11" s="237"/>
      <c r="IP11" s="237"/>
      <c r="IQ11" s="237"/>
      <c r="IR11" s="237"/>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t="s">
        <v>74</v>
      </c>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t="s">
        <v>74</v>
      </c>
      <c r="NC11" s="237"/>
      <c r="ND11" s="237"/>
      <c r="NE11" s="237"/>
      <c r="NF11" s="237"/>
      <c r="NG11" s="237"/>
      <c r="NH11" s="237"/>
      <c r="NI11" s="237"/>
      <c r="NJ11" s="237"/>
      <c r="NK11" s="237"/>
      <c r="NL11" s="237"/>
      <c r="NM11" s="237"/>
      <c r="NN11" s="237"/>
      <c r="NO11" s="237"/>
      <c r="NP11" s="237"/>
      <c r="NQ11" s="237"/>
      <c r="NR11" s="237"/>
      <c r="NS11" s="237"/>
      <c r="NT11" s="237"/>
      <c r="NU11" s="237"/>
      <c r="NV11" s="237"/>
      <c r="NW11" s="237"/>
      <c r="NX11" s="237"/>
      <c r="NY11" s="237"/>
      <c r="NZ11" s="237"/>
      <c r="OA11" s="237"/>
      <c r="OB11" s="237"/>
      <c r="OC11" s="237"/>
      <c r="OD11" s="237"/>
      <c r="OE11" s="237"/>
      <c r="OF11" s="237"/>
      <c r="OG11" s="237"/>
      <c r="OH11" s="237"/>
      <c r="OI11" s="237"/>
      <c r="OJ11" s="237"/>
      <c r="OK11" s="237"/>
      <c r="OL11" s="237"/>
      <c r="OM11" s="237"/>
      <c r="ON11" s="237"/>
      <c r="OO11" s="237"/>
      <c r="OP11" s="237"/>
      <c r="OQ11" s="237"/>
      <c r="OR11" s="237"/>
      <c r="OS11" s="237"/>
      <c r="OT11" s="237"/>
      <c r="OU11" s="237"/>
      <c r="OV11" s="237"/>
      <c r="OW11" s="237"/>
      <c r="OX11" s="237"/>
      <c r="OY11" s="237"/>
      <c r="OZ11" s="237"/>
      <c r="PA11" s="237"/>
      <c r="PB11" s="237"/>
      <c r="PC11" s="237"/>
      <c r="PD11" s="237"/>
      <c r="PE11" s="237"/>
      <c r="PF11" s="237"/>
      <c r="PG11" s="237"/>
      <c r="PH11" s="237"/>
      <c r="PI11" s="237"/>
      <c r="PJ11" s="237" t="s">
        <v>91</v>
      </c>
      <c r="PK11" s="237"/>
      <c r="PL11" s="237"/>
      <c r="PM11" s="237"/>
      <c r="PN11" s="237"/>
      <c r="PO11" s="237"/>
      <c r="PP11" s="237"/>
      <c r="PQ11" s="237"/>
      <c r="PR11" s="237"/>
      <c r="PS11" s="237"/>
      <c r="PT11" s="237"/>
      <c r="PU11" s="237"/>
      <c r="PV11" s="237"/>
      <c r="PW11" s="237"/>
      <c r="PX11" s="237"/>
      <c r="PY11" s="237"/>
      <c r="PZ11" s="237"/>
      <c r="QA11" s="237"/>
      <c r="QB11" s="237"/>
      <c r="QC11" s="237"/>
      <c r="QD11" s="237"/>
      <c r="QE11" s="237"/>
      <c r="QF11" s="237"/>
      <c r="QG11" s="237"/>
      <c r="QH11" s="237"/>
      <c r="QI11" s="237"/>
      <c r="QJ11" s="237"/>
      <c r="QK11" s="237"/>
      <c r="QL11" s="237"/>
      <c r="QM11" s="237"/>
      <c r="QN11" s="237"/>
      <c r="QO11" s="237"/>
      <c r="QP11" s="237"/>
      <c r="QQ11" s="237"/>
      <c r="QR11" s="237"/>
      <c r="QS11" s="237"/>
      <c r="QT11" s="237"/>
      <c r="QU11" s="237"/>
      <c r="QV11" s="237"/>
      <c r="QW11" s="237"/>
      <c r="QX11" s="237"/>
      <c r="QY11" s="237"/>
      <c r="QZ11" s="237"/>
      <c r="RA11" s="237"/>
      <c r="RB11" s="237"/>
      <c r="RC11" s="237"/>
      <c r="RD11" s="237"/>
      <c r="RE11" s="237"/>
      <c r="RF11" s="237"/>
      <c r="RG11" s="237"/>
      <c r="RH11" s="237"/>
      <c r="RI11" s="237"/>
      <c r="RJ11" s="237"/>
      <c r="RK11" s="237"/>
      <c r="RL11" s="237"/>
      <c r="RM11" s="237"/>
      <c r="RN11" s="237"/>
      <c r="RO11" s="237"/>
      <c r="RP11" s="237"/>
      <c r="RQ11" s="237"/>
      <c r="RR11" s="237" t="s">
        <v>91</v>
      </c>
      <c r="RS11" s="237"/>
      <c r="RT11" s="237"/>
      <c r="RU11" s="237"/>
      <c r="RV11" s="237"/>
      <c r="RW11" s="237"/>
      <c r="RX11" s="237"/>
      <c r="RY11" s="237"/>
      <c r="RZ11" s="237"/>
      <c r="SA11" s="237"/>
      <c r="SB11" s="237"/>
      <c r="SC11" s="237"/>
      <c r="SD11" s="237"/>
      <c r="SE11" s="237"/>
      <c r="SF11" s="237"/>
      <c r="SG11" s="237"/>
      <c r="SH11" s="237"/>
      <c r="SI11" s="237"/>
      <c r="SJ11" s="237"/>
      <c r="SK11" s="237"/>
      <c r="SL11" s="237"/>
      <c r="SM11" s="237"/>
      <c r="SN11" s="237"/>
      <c r="SO11" s="237"/>
      <c r="SP11" s="237"/>
      <c r="SQ11" s="237"/>
      <c r="SR11" s="237"/>
      <c r="SS11" s="237"/>
      <c r="ST11" s="237"/>
      <c r="SU11" s="237"/>
      <c r="SV11" s="237"/>
      <c r="SW11" s="237"/>
      <c r="SX11" s="237"/>
      <c r="SY11" s="237"/>
      <c r="SZ11" s="237"/>
      <c r="TA11" s="237"/>
      <c r="TB11" s="237"/>
      <c r="TC11" s="237"/>
      <c r="TD11" s="237"/>
      <c r="TE11" s="237"/>
      <c r="TF11" s="237"/>
      <c r="TG11" s="237"/>
      <c r="TH11" s="237"/>
      <c r="TI11" s="237"/>
      <c r="TJ11" s="237"/>
      <c r="TK11" s="237"/>
      <c r="TL11" s="237"/>
      <c r="TM11" s="237"/>
      <c r="TN11" s="237"/>
      <c r="TO11" s="237"/>
      <c r="TP11" s="237"/>
      <c r="TQ11" s="237"/>
      <c r="TR11" s="237"/>
      <c r="TS11" s="237"/>
      <c r="TT11" s="237"/>
      <c r="TU11" s="237"/>
      <c r="TV11" s="237"/>
      <c r="TW11" s="237"/>
      <c r="TX11" s="237"/>
      <c r="TY11" s="237"/>
      <c r="TZ11" s="237" t="s">
        <v>88</v>
      </c>
      <c r="UA11" s="237"/>
      <c r="UB11" s="237"/>
      <c r="UC11" s="237"/>
      <c r="UD11" s="237"/>
      <c r="UE11" s="237"/>
      <c r="UF11" s="237"/>
      <c r="UG11" s="237"/>
      <c r="UH11" s="237"/>
      <c r="UI11" s="237"/>
      <c r="UJ11" s="237"/>
      <c r="UK11" s="237"/>
      <c r="UL11" s="237"/>
      <c r="UM11" s="237"/>
      <c r="UN11" s="237"/>
      <c r="UO11" s="237"/>
      <c r="UP11" s="237"/>
      <c r="UQ11" s="237"/>
      <c r="UR11" s="237"/>
      <c r="US11" s="237"/>
      <c r="UT11" s="237"/>
      <c r="UU11" s="237"/>
      <c r="UV11" s="237"/>
      <c r="UW11" s="237"/>
      <c r="UX11" s="237"/>
      <c r="UY11" s="237"/>
      <c r="UZ11" s="237"/>
      <c r="VA11" s="237"/>
      <c r="VB11" s="237"/>
      <c r="VC11" s="237"/>
      <c r="VD11" s="237"/>
      <c r="VE11" s="237"/>
      <c r="VF11" s="237"/>
      <c r="VG11" s="237"/>
      <c r="VH11" s="237"/>
      <c r="VI11" s="237"/>
      <c r="VJ11" s="237"/>
      <c r="VK11" s="237"/>
      <c r="VL11" s="237"/>
      <c r="VM11" s="237"/>
      <c r="VN11" s="237"/>
      <c r="VO11" s="237"/>
      <c r="VP11" s="237"/>
      <c r="VQ11" s="237"/>
      <c r="VR11" s="237"/>
      <c r="VS11" s="237"/>
      <c r="VT11" s="237"/>
      <c r="VU11" s="237"/>
      <c r="VV11" s="237"/>
      <c r="VW11" s="237"/>
      <c r="VX11" s="237"/>
      <c r="VY11" s="237"/>
      <c r="VZ11" s="237"/>
      <c r="WA11" s="237"/>
      <c r="WB11" s="237"/>
      <c r="WC11" s="237"/>
      <c r="WD11" s="237"/>
      <c r="WE11" s="237"/>
      <c r="WF11" s="237"/>
      <c r="WG11" s="237"/>
      <c r="WH11" s="237" t="s">
        <v>88</v>
      </c>
      <c r="WI11" s="237"/>
      <c r="WJ11" s="237"/>
      <c r="WK11" s="237"/>
      <c r="WL11" s="237"/>
      <c r="WM11" s="237"/>
      <c r="WN11" s="237"/>
      <c r="WO11" s="237"/>
      <c r="WP11" s="237"/>
      <c r="WQ11" s="237"/>
      <c r="WR11" s="237"/>
      <c r="WS11" s="237"/>
      <c r="WT11" s="237"/>
      <c r="WU11" s="237"/>
      <c r="WV11" s="237"/>
      <c r="WW11" s="237"/>
      <c r="WX11" s="237"/>
      <c r="WY11" s="237"/>
      <c r="WZ11" s="237"/>
      <c r="XA11" s="237"/>
      <c r="XB11" s="237"/>
      <c r="XC11" s="237"/>
      <c r="XD11" s="237"/>
      <c r="XE11" s="237"/>
      <c r="XF11" s="237"/>
      <c r="XG11" s="237"/>
      <c r="XH11" s="237"/>
      <c r="XI11" s="237"/>
      <c r="XJ11" s="237"/>
      <c r="XK11" s="237"/>
      <c r="XL11" s="237"/>
      <c r="XM11" s="237"/>
      <c r="XN11" s="237"/>
      <c r="XO11" s="237"/>
      <c r="XP11" s="237"/>
      <c r="XQ11" s="237"/>
      <c r="XR11" s="237"/>
      <c r="XS11" s="237"/>
      <c r="XT11" s="237"/>
      <c r="XU11" s="237"/>
      <c r="XV11" s="237"/>
      <c r="XW11" s="237"/>
      <c r="XX11" s="237"/>
      <c r="XY11" s="237"/>
      <c r="XZ11" s="237"/>
      <c r="YA11" s="237"/>
      <c r="YB11" s="237"/>
      <c r="YC11" s="237"/>
      <c r="YD11" s="237"/>
      <c r="YE11" s="237"/>
      <c r="YF11" s="237"/>
      <c r="YG11" s="237"/>
      <c r="YH11" s="237"/>
      <c r="YI11" s="237"/>
      <c r="YJ11" s="237"/>
      <c r="YK11" s="237"/>
      <c r="YL11" s="237"/>
      <c r="YM11" s="237"/>
      <c r="YN11" s="237"/>
      <c r="YO11" s="237"/>
      <c r="YP11" s="237" t="s">
        <v>85</v>
      </c>
      <c r="YQ11" s="237"/>
      <c r="YR11" s="237"/>
      <c r="YS11" s="237"/>
      <c r="YT11" s="237"/>
      <c r="YU11" s="237"/>
      <c r="YV11" s="237"/>
      <c r="YW11" s="237"/>
      <c r="YX11" s="237"/>
      <c r="YY11" s="237"/>
      <c r="YZ11" s="237"/>
      <c r="ZA11" s="237"/>
      <c r="ZB11" s="237"/>
      <c r="ZC11" s="237"/>
      <c r="ZD11" s="237"/>
      <c r="ZE11" s="237"/>
      <c r="ZF11" s="237"/>
      <c r="ZG11" s="237"/>
      <c r="ZH11" s="237"/>
      <c r="ZI11" s="237"/>
      <c r="ZJ11" s="237"/>
      <c r="ZK11" s="237"/>
      <c r="ZL11" s="237"/>
      <c r="ZM11" s="237"/>
      <c r="ZN11" s="237"/>
      <c r="ZO11" s="237"/>
      <c r="ZP11" s="237"/>
      <c r="ZQ11" s="237"/>
      <c r="ZR11" s="237"/>
      <c r="ZS11" s="237"/>
      <c r="ZT11" s="237"/>
      <c r="ZU11" s="237"/>
      <c r="ZV11" s="237"/>
      <c r="ZW11" s="237"/>
      <c r="ZX11" s="237"/>
      <c r="ZY11" s="237"/>
      <c r="ZZ11" s="237"/>
      <c r="AAA11" s="237"/>
      <c r="AAB11" s="237"/>
      <c r="AAC11" s="237"/>
      <c r="AAD11" s="237"/>
      <c r="AAE11" s="237"/>
      <c r="AAF11" s="237"/>
      <c r="AAG11" s="237"/>
      <c r="AAH11" s="237"/>
      <c r="AAI11" s="237"/>
      <c r="AAJ11" s="237"/>
      <c r="AAK11" s="237"/>
      <c r="AAL11" s="237"/>
      <c r="AAM11" s="237"/>
      <c r="AAN11" s="237"/>
      <c r="AAO11" s="237"/>
      <c r="AAP11" s="237"/>
      <c r="AAQ11" s="237"/>
      <c r="AAR11" s="237"/>
      <c r="AAS11" s="237"/>
      <c r="AAT11" s="237"/>
      <c r="AAU11" s="237"/>
      <c r="AAV11" s="237"/>
      <c r="AAW11" s="237"/>
      <c r="AAX11" s="237" t="s">
        <v>85</v>
      </c>
      <c r="AAY11" s="237"/>
      <c r="AAZ11" s="237"/>
      <c r="ABA11" s="237"/>
      <c r="ABB11" s="237"/>
      <c r="ABC11" s="237"/>
      <c r="ABD11" s="237"/>
      <c r="ABE11" s="237"/>
      <c r="ABF11" s="237"/>
      <c r="ABG11" s="237"/>
      <c r="ABH11" s="237"/>
      <c r="ABI11" s="237"/>
      <c r="ABJ11" s="237"/>
      <c r="ABK11" s="237"/>
      <c r="ABL11" s="237"/>
      <c r="ABM11" s="237"/>
      <c r="ABN11" s="237"/>
      <c r="ABO11" s="237"/>
      <c r="ABP11" s="237"/>
      <c r="ABQ11" s="237"/>
      <c r="ABR11" s="237"/>
      <c r="ABS11" s="237"/>
      <c r="ABT11" s="237"/>
      <c r="ABU11" s="237"/>
      <c r="ABV11" s="237"/>
      <c r="ABW11" s="237"/>
      <c r="ABX11" s="237"/>
      <c r="ABY11" s="237"/>
      <c r="ABZ11" s="237"/>
      <c r="ACA11" s="237"/>
      <c r="ACB11" s="237"/>
      <c r="ACC11" s="237"/>
      <c r="ACD11" s="237"/>
      <c r="ACE11" s="237"/>
      <c r="ACF11" s="237"/>
      <c r="ACG11" s="237"/>
      <c r="ACH11" s="237"/>
      <c r="ACI11" s="237"/>
      <c r="ACJ11" s="237"/>
      <c r="ACK11" s="237"/>
      <c r="ACL11" s="237"/>
      <c r="ACM11" s="237"/>
      <c r="ACN11" s="237"/>
      <c r="ACO11" s="237"/>
      <c r="ACP11" s="237"/>
      <c r="ACQ11" s="237"/>
      <c r="ACR11" s="237"/>
      <c r="ACS11" s="237"/>
      <c r="ACT11" s="237"/>
      <c r="ACU11" s="237"/>
      <c r="ACV11" s="237"/>
      <c r="ACW11" s="237"/>
      <c r="ACX11" s="237"/>
      <c r="ACY11" s="237"/>
      <c r="ACZ11" s="237"/>
      <c r="ADA11" s="237"/>
      <c r="ADB11" s="237"/>
      <c r="ADC11" s="237"/>
      <c r="ADD11" s="237"/>
      <c r="ADE11" s="237"/>
      <c r="ADF11" s="237" t="s">
        <v>82</v>
      </c>
      <c r="ADG11" s="237"/>
      <c r="ADH11" s="237"/>
      <c r="ADI11" s="237"/>
      <c r="ADJ11" s="237"/>
      <c r="ADK11" s="237"/>
      <c r="ADL11" s="237"/>
      <c r="ADM11" s="237"/>
      <c r="ADN11" s="237"/>
      <c r="ADO11" s="237"/>
      <c r="ADP11" s="237"/>
      <c r="ADQ11" s="237"/>
      <c r="ADR11" s="237"/>
      <c r="ADS11" s="237"/>
      <c r="ADT11" s="237"/>
      <c r="ADU11" s="237"/>
      <c r="ADV11" s="237"/>
      <c r="ADW11" s="237"/>
      <c r="ADX11" s="237"/>
      <c r="ADY11" s="237"/>
      <c r="ADZ11" s="237"/>
      <c r="AEA11" s="237"/>
      <c r="AEB11" s="237"/>
      <c r="AEC11" s="237"/>
      <c r="AED11" s="237"/>
      <c r="AEE11" s="237"/>
      <c r="AEF11" s="237"/>
      <c r="AEG11" s="237"/>
      <c r="AEH11" s="237"/>
      <c r="AEI11" s="237"/>
      <c r="AEJ11" s="237"/>
      <c r="AEK11" s="237"/>
      <c r="AEL11" s="237"/>
      <c r="AEM11" s="237"/>
      <c r="AEN11" s="237"/>
      <c r="AEO11" s="237"/>
      <c r="AEP11" s="237"/>
      <c r="AEQ11" s="237"/>
      <c r="AER11" s="237"/>
      <c r="AES11" s="237"/>
      <c r="AET11" s="237"/>
      <c r="AEU11" s="237"/>
      <c r="AEV11" s="237"/>
      <c r="AEW11" s="237"/>
      <c r="AEX11" s="237"/>
      <c r="AEY11" s="237"/>
      <c r="AEZ11" s="237"/>
      <c r="AFA11" s="237"/>
      <c r="AFB11" s="237"/>
      <c r="AFC11" s="237"/>
      <c r="AFD11" s="237"/>
      <c r="AFE11" s="237"/>
      <c r="AFF11" s="237"/>
      <c r="AFG11" s="237"/>
      <c r="AFH11" s="237"/>
      <c r="AFI11" s="237"/>
      <c r="AFJ11" s="237"/>
      <c r="AFK11" s="237"/>
      <c r="AFL11" s="237"/>
      <c r="AFM11" s="237"/>
      <c r="AFN11" s="237" t="s">
        <v>82</v>
      </c>
      <c r="AFO11" s="237"/>
      <c r="AFP11" s="237"/>
      <c r="AFQ11" s="237"/>
      <c r="AFR11" s="237"/>
      <c r="AFS11" s="237"/>
      <c r="AFT11" s="237"/>
      <c r="AFU11" s="237"/>
      <c r="AFV11" s="237"/>
      <c r="AFW11" s="237"/>
      <c r="AFX11" s="237"/>
      <c r="AFY11" s="237"/>
      <c r="AFZ11" s="237"/>
      <c r="AGA11" s="237"/>
      <c r="AGB11" s="237"/>
      <c r="AGC11" s="237"/>
      <c r="AGD11" s="237"/>
      <c r="AGE11" s="237"/>
      <c r="AGF11" s="237"/>
      <c r="AGG11" s="237"/>
      <c r="AGH11" s="237"/>
      <c r="AGI11" s="237"/>
      <c r="AGJ11" s="237"/>
      <c r="AGK11" s="237"/>
      <c r="AGL11" s="237"/>
      <c r="AGM11" s="237"/>
      <c r="AGN11" s="237"/>
      <c r="AGO11" s="237"/>
      <c r="AGP11" s="237"/>
      <c r="AGQ11" s="237"/>
      <c r="AGR11" s="237"/>
      <c r="AGS11" s="237"/>
      <c r="AGT11" s="237"/>
      <c r="AGU11" s="237"/>
      <c r="AGV11" s="237"/>
      <c r="AGW11" s="237"/>
      <c r="AGX11" s="237"/>
      <c r="AGY11" s="237"/>
      <c r="AGZ11" s="237"/>
      <c r="AHA11" s="237"/>
      <c r="AHB11" s="237"/>
      <c r="AHC11" s="237"/>
      <c r="AHD11" s="237"/>
      <c r="AHE11" s="237"/>
      <c r="AHF11" s="237"/>
      <c r="AHG11" s="237"/>
      <c r="AHH11" s="237"/>
      <c r="AHI11" s="237"/>
      <c r="AHJ11" s="237"/>
      <c r="AHK11" s="237"/>
      <c r="AHL11" s="237"/>
      <c r="AHM11" s="237"/>
      <c r="AHN11" s="237"/>
      <c r="AHO11" s="237"/>
      <c r="AHP11" s="237"/>
      <c r="AHQ11" s="237"/>
      <c r="AHR11" s="237"/>
      <c r="AHS11" s="237"/>
      <c r="AHT11" s="237"/>
      <c r="AHU11" s="237"/>
      <c r="AHV11" s="237" t="s">
        <v>100</v>
      </c>
      <c r="AHW11" s="237"/>
      <c r="AHX11" s="237"/>
      <c r="AHY11" s="237"/>
      <c r="AHZ11" s="237"/>
      <c r="AIA11" s="237"/>
      <c r="AIB11" s="237"/>
      <c r="AIC11" s="237"/>
      <c r="AID11" s="237"/>
      <c r="AIE11" s="237"/>
      <c r="AIF11" s="237"/>
      <c r="AIG11" s="237"/>
      <c r="AIH11" s="237"/>
      <c r="AII11" s="237"/>
      <c r="AIJ11" s="237"/>
      <c r="AIK11" s="237"/>
      <c r="AIL11" s="237"/>
      <c r="AIM11" s="237"/>
      <c r="AIN11" s="237"/>
      <c r="AIO11" s="237"/>
      <c r="AIP11" s="237"/>
      <c r="AIQ11" s="237"/>
      <c r="AIR11" s="237"/>
      <c r="AIS11" s="237"/>
      <c r="AIT11" s="237"/>
      <c r="AIU11" s="237"/>
      <c r="AIV11" s="237"/>
      <c r="AIW11" s="237"/>
      <c r="AIX11" s="237"/>
      <c r="AIY11" s="237"/>
      <c r="AIZ11" s="237"/>
      <c r="AJA11" s="237"/>
      <c r="AJB11" s="237"/>
      <c r="AJC11" s="237"/>
      <c r="AJD11" s="237"/>
      <c r="AJE11" s="237"/>
      <c r="AJF11" s="237"/>
      <c r="AJG11" s="237"/>
      <c r="AJH11" s="237"/>
      <c r="AJI11" s="237"/>
      <c r="AJJ11" s="237"/>
      <c r="AJK11" s="237"/>
      <c r="AJL11" s="237"/>
      <c r="AJM11" s="237"/>
      <c r="AJN11" s="237"/>
      <c r="AJO11" s="237"/>
      <c r="AJP11" s="237"/>
      <c r="AJQ11" s="237"/>
      <c r="AJR11" s="237"/>
      <c r="AJS11" s="237"/>
      <c r="AJT11" s="237"/>
      <c r="AJU11" s="237"/>
      <c r="AJV11" s="237"/>
      <c r="AJW11" s="237"/>
      <c r="AJX11" s="237"/>
      <c r="AJY11" s="237"/>
      <c r="AJZ11" s="237"/>
      <c r="AKA11" s="237"/>
      <c r="AKB11" s="237"/>
      <c r="AKC11" s="237"/>
      <c r="AKD11" s="237" t="s">
        <v>97</v>
      </c>
      <c r="AKE11" s="237"/>
      <c r="AKF11" s="237"/>
      <c r="AKG11" s="237"/>
      <c r="AKH11" s="237"/>
      <c r="AKI11" s="237"/>
      <c r="AKJ11" s="237"/>
      <c r="AKK11" s="237"/>
      <c r="AKL11" s="237"/>
      <c r="AKM11" s="237"/>
      <c r="AKN11" s="237"/>
      <c r="AKO11" s="237"/>
      <c r="AKP11" s="237"/>
      <c r="AKQ11" s="237"/>
      <c r="AKR11" s="237"/>
      <c r="AKS11" s="237"/>
      <c r="AKT11" s="237"/>
      <c r="AKU11" s="237"/>
      <c r="AKV11" s="237"/>
      <c r="AKW11" s="237"/>
      <c r="AKX11" s="237"/>
      <c r="AKY11" s="237"/>
      <c r="AKZ11" s="237"/>
      <c r="ALA11" s="237"/>
      <c r="ALB11" s="237"/>
      <c r="ALC11" s="237"/>
      <c r="ALD11" s="237"/>
      <c r="ALE11" s="237"/>
      <c r="ALF11" s="237"/>
      <c r="ALG11" s="237"/>
      <c r="ALH11" s="237"/>
      <c r="ALI11" s="237"/>
      <c r="ALJ11" s="237"/>
      <c r="ALK11" s="237"/>
      <c r="ALL11" s="237"/>
      <c r="ALM11" s="237"/>
      <c r="ALN11" s="237"/>
      <c r="ALO11" s="237"/>
      <c r="ALP11" s="237"/>
      <c r="ALQ11" s="237"/>
      <c r="ALR11" s="237"/>
      <c r="ALS11" s="237"/>
      <c r="ALT11" s="237"/>
      <c r="ALU11" s="237"/>
      <c r="ALV11" s="237"/>
      <c r="ALW11" s="237"/>
      <c r="ALX11" s="237"/>
      <c r="ALY11" s="237"/>
      <c r="ALZ11" s="237"/>
      <c r="AMA11" s="237"/>
      <c r="AMB11" s="237"/>
      <c r="AMC11" s="237"/>
      <c r="AMD11" s="237"/>
      <c r="AME11" s="237"/>
      <c r="AMF11" s="237"/>
      <c r="AMG11" s="237"/>
      <c r="AMH11" s="237"/>
      <c r="AMI11" s="237"/>
      <c r="AMJ11" s="237"/>
      <c r="AMK11" s="237"/>
      <c r="AML11" s="237" t="s">
        <v>97</v>
      </c>
      <c r="AMM11" s="237"/>
      <c r="AMN11" s="237"/>
      <c r="AMO11" s="237"/>
      <c r="AMP11" s="237"/>
      <c r="AMQ11" s="237"/>
      <c r="AMR11" s="237"/>
      <c r="AMS11" s="237"/>
      <c r="AMT11" s="237"/>
      <c r="AMU11" s="237"/>
      <c r="AMV11" s="237"/>
      <c r="AMW11" s="237"/>
      <c r="AMX11" s="237"/>
      <c r="AMY11" s="237"/>
      <c r="AMZ11" s="237"/>
      <c r="ANA11" s="237"/>
      <c r="ANB11" s="237"/>
      <c r="ANC11" s="237"/>
      <c r="AND11" s="237"/>
      <c r="ANE11" s="237"/>
      <c r="ANF11" s="237"/>
      <c r="ANG11" s="237"/>
      <c r="ANH11" s="237"/>
      <c r="ANI11" s="237"/>
      <c r="ANJ11" s="237"/>
      <c r="ANK11" s="237"/>
      <c r="ANL11" s="237"/>
      <c r="ANM11" s="237"/>
      <c r="ANN11" s="237"/>
      <c r="ANO11" s="237"/>
      <c r="ANP11" s="237"/>
      <c r="ANQ11" s="237"/>
      <c r="ANR11" s="237"/>
      <c r="ANS11" s="237"/>
      <c r="ANT11" s="237"/>
      <c r="ANU11" s="237"/>
      <c r="ANV11" s="237"/>
      <c r="ANW11" s="237"/>
      <c r="ANX11" s="237"/>
      <c r="ANY11" s="237"/>
      <c r="ANZ11" s="237"/>
      <c r="AOA11" s="237"/>
      <c r="AOB11" s="237"/>
      <c r="AOC11" s="237"/>
      <c r="AOD11" s="237"/>
      <c r="AOE11" s="237"/>
      <c r="AOF11" s="237"/>
      <c r="AOG11" s="237"/>
      <c r="AOH11" s="237"/>
      <c r="AOI11" s="237"/>
      <c r="AOJ11" s="237"/>
      <c r="AOK11" s="237"/>
      <c r="AOL11" s="237"/>
      <c r="AOM11" s="237"/>
      <c r="AON11" s="237"/>
      <c r="AOO11" s="237"/>
      <c r="AOP11" s="237"/>
      <c r="AOQ11" s="237"/>
      <c r="AOR11" s="237"/>
      <c r="AOS11" s="237"/>
      <c r="AOT11" s="237" t="s">
        <v>94</v>
      </c>
      <c r="AOU11" s="237"/>
      <c r="AOV11" s="237"/>
      <c r="AOW11" s="237"/>
      <c r="AOX11" s="237"/>
      <c r="AOY11" s="237"/>
      <c r="AOZ11" s="237"/>
      <c r="APA11" s="237"/>
      <c r="APB11" s="237"/>
      <c r="APC11" s="237"/>
      <c r="APD11" s="237"/>
      <c r="APE11" s="237"/>
      <c r="APF11" s="237"/>
      <c r="APG11" s="237"/>
      <c r="APH11" s="237"/>
      <c r="API11" s="237"/>
      <c r="APJ11" s="237"/>
      <c r="APK11" s="237"/>
      <c r="APL11" s="237"/>
      <c r="APM11" s="237"/>
      <c r="APN11" s="237"/>
      <c r="APO11" s="237"/>
      <c r="APP11" s="237"/>
      <c r="APQ11" s="237"/>
      <c r="APR11" s="237"/>
      <c r="APS11" s="237"/>
      <c r="APT11" s="237"/>
      <c r="APU11" s="237"/>
      <c r="APV11" s="237"/>
      <c r="APW11" s="237"/>
      <c r="APX11" s="237"/>
      <c r="APY11" s="237"/>
      <c r="APZ11" s="237"/>
      <c r="AQA11" s="237"/>
      <c r="AQB11" s="237"/>
      <c r="AQC11" s="237"/>
      <c r="AQD11" s="237"/>
      <c r="AQE11" s="237"/>
      <c r="AQF11" s="237"/>
      <c r="AQG11" s="237"/>
      <c r="AQH11" s="237"/>
      <c r="AQI11" s="237"/>
      <c r="AQJ11" s="237"/>
      <c r="AQK11" s="237"/>
      <c r="AQL11" s="237"/>
      <c r="AQM11" s="237"/>
      <c r="AQN11" s="237"/>
      <c r="AQO11" s="237"/>
      <c r="AQP11" s="237"/>
      <c r="AQQ11" s="237"/>
      <c r="AQR11" s="237"/>
      <c r="AQS11" s="237"/>
      <c r="AQT11" s="237"/>
      <c r="AQU11" s="237"/>
      <c r="AQV11" s="237"/>
      <c r="AQW11" s="237"/>
      <c r="AQX11" s="237"/>
      <c r="AQY11" s="237"/>
      <c r="AQZ11" s="237"/>
      <c r="ARA11" s="237"/>
      <c r="ARB11" s="237" t="s">
        <v>94</v>
      </c>
      <c r="ARC11" s="237"/>
      <c r="ARD11" s="237"/>
      <c r="ARE11" s="237"/>
      <c r="ARF11" s="237"/>
      <c r="ARG11" s="237"/>
      <c r="ARH11" s="237"/>
      <c r="ARI11" s="237"/>
      <c r="ARJ11" s="237"/>
      <c r="ARK11" s="237"/>
      <c r="ARL11" s="237"/>
      <c r="ARM11" s="237"/>
      <c r="ARN11" s="237"/>
      <c r="ARO11" s="237"/>
      <c r="ARP11" s="237"/>
      <c r="ARQ11" s="237"/>
      <c r="ARR11" s="237"/>
      <c r="ARS11" s="237"/>
      <c r="ART11" s="237"/>
      <c r="ARU11" s="237"/>
      <c r="ARV11" s="237"/>
      <c r="ARW11" s="237"/>
      <c r="ARX11" s="237"/>
      <c r="ARY11" s="237"/>
      <c r="ARZ11" s="237"/>
      <c r="ASA11" s="237"/>
      <c r="ASB11" s="237"/>
      <c r="ASC11" s="237"/>
      <c r="ASD11" s="237"/>
      <c r="ASE11" s="237"/>
      <c r="ASF11" s="237"/>
      <c r="ASG11" s="237"/>
      <c r="ASH11" s="237"/>
      <c r="ASI11" s="237"/>
      <c r="ASJ11" s="237"/>
      <c r="ASK11" s="237"/>
      <c r="ASL11" s="237"/>
      <c r="ASM11" s="237"/>
      <c r="ASN11" s="237"/>
      <c r="ASO11" s="237"/>
      <c r="ASP11" s="237"/>
      <c r="ASQ11" s="237"/>
      <c r="ASR11" s="237"/>
      <c r="ASS11" s="237"/>
      <c r="AST11" s="237"/>
      <c r="ASU11" s="237"/>
      <c r="ASV11" s="237"/>
      <c r="ASW11" s="237"/>
      <c r="ASX11" s="237"/>
      <c r="ASY11" s="237"/>
      <c r="ASZ11" s="237"/>
      <c r="ATA11" s="237"/>
      <c r="ATB11" s="237"/>
      <c r="ATC11" s="237"/>
      <c r="ATD11" s="237"/>
      <c r="ATE11" s="237"/>
      <c r="ATF11" s="237"/>
      <c r="ATG11" s="237"/>
      <c r="ATH11" s="237"/>
      <c r="ATI11" s="237"/>
      <c r="ATJ11" s="237" t="s">
        <v>105</v>
      </c>
      <c r="ATK11" s="237"/>
      <c r="ATL11" s="237"/>
      <c r="ATM11" s="237"/>
      <c r="ATN11" s="237"/>
      <c r="ATO11" s="237"/>
      <c r="ATP11" s="237"/>
      <c r="ATQ11" s="237"/>
      <c r="ATR11" s="237"/>
      <c r="ATS11" s="237"/>
      <c r="ATT11" s="237"/>
      <c r="ATU11" s="237"/>
      <c r="ATV11" s="237"/>
      <c r="ATW11" s="237"/>
      <c r="ATX11" s="237"/>
      <c r="ATY11" s="237"/>
      <c r="ATZ11" s="237"/>
      <c r="AUA11" s="237"/>
      <c r="AUB11" s="237"/>
      <c r="AUC11" s="237"/>
      <c r="AUD11" s="237"/>
      <c r="AUE11" s="237"/>
      <c r="AUF11" s="237"/>
      <c r="AUG11" s="237"/>
      <c r="AUH11" s="237"/>
      <c r="AUI11" s="237"/>
      <c r="AUJ11" s="237"/>
      <c r="AUK11" s="237"/>
      <c r="AUL11" s="237"/>
      <c r="AUM11" s="237"/>
      <c r="AUN11" s="237"/>
      <c r="AUO11" s="237"/>
      <c r="AUP11" s="237"/>
      <c r="AUQ11" s="237"/>
      <c r="AUR11" s="237"/>
      <c r="AUS11" s="237"/>
      <c r="AUT11" s="237"/>
      <c r="AUU11" s="237"/>
      <c r="AUV11" s="237"/>
      <c r="AUW11" s="237"/>
      <c r="AUX11" s="237"/>
      <c r="AUY11" s="237"/>
      <c r="AUZ11" s="237"/>
      <c r="AVA11" s="237"/>
      <c r="AVB11" s="237"/>
      <c r="AVC11" s="237"/>
      <c r="AVD11" s="237"/>
      <c r="AVE11" s="237"/>
      <c r="AVF11" s="237"/>
      <c r="AVG11" s="237"/>
      <c r="AVH11" s="237"/>
      <c r="AVI11" s="237"/>
      <c r="AVJ11" s="237"/>
      <c r="AVK11" s="237"/>
      <c r="AVL11" s="237"/>
      <c r="AVM11" s="237"/>
      <c r="AVN11" s="237"/>
      <c r="AVO11" s="237"/>
      <c r="AVP11" s="237"/>
      <c r="AVQ11" s="237"/>
      <c r="AVR11" s="237" t="s">
        <v>105</v>
      </c>
      <c r="AVS11" s="237"/>
      <c r="AVT11" s="237"/>
      <c r="AVU11" s="237"/>
      <c r="AVV11" s="237"/>
      <c r="AVW11" s="237"/>
      <c r="AVX11" s="237"/>
      <c r="AVY11" s="237"/>
      <c r="AVZ11" s="237"/>
      <c r="AWA11" s="237"/>
      <c r="AWB11" s="237"/>
      <c r="AWC11" s="237"/>
      <c r="AWD11" s="237"/>
      <c r="AWE11" s="237"/>
      <c r="AWF11" s="237"/>
      <c r="AWG11" s="237"/>
      <c r="AWH11" s="237"/>
      <c r="AWI11" s="237"/>
      <c r="AWJ11" s="237"/>
      <c r="AWK11" s="237"/>
      <c r="AWL11" s="237"/>
      <c r="AWM11" s="237"/>
      <c r="AWN11" s="237"/>
      <c r="AWO11" s="237"/>
      <c r="AWP11" s="237"/>
      <c r="AWQ11" s="237"/>
      <c r="AWR11" s="237"/>
      <c r="AWS11" s="237"/>
      <c r="AWT11" s="237"/>
      <c r="AWU11" s="237"/>
      <c r="AWV11" s="237"/>
      <c r="AWW11" s="237"/>
      <c r="AWX11" s="237"/>
      <c r="AWY11" s="237"/>
      <c r="AWZ11" s="237"/>
      <c r="AXA11" s="237"/>
      <c r="AXB11" s="237"/>
      <c r="AXC11" s="237"/>
      <c r="AXD11" s="237"/>
      <c r="AXE11" s="237"/>
      <c r="AXF11" s="237"/>
      <c r="AXG11" s="237"/>
      <c r="AXH11" s="237"/>
      <c r="AXI11" s="237"/>
      <c r="AXJ11" s="237"/>
      <c r="AXK11" s="237"/>
      <c r="AXL11" s="237"/>
      <c r="AXM11" s="237"/>
      <c r="AXN11" s="237"/>
      <c r="AXO11" s="237"/>
      <c r="AXP11" s="237"/>
      <c r="AXQ11" s="237"/>
      <c r="AXR11" s="237"/>
      <c r="AXS11" s="237"/>
      <c r="AXT11" s="237"/>
      <c r="AXU11" s="237"/>
      <c r="AXV11" s="237"/>
      <c r="AXW11" s="237"/>
      <c r="AXX11" s="237"/>
      <c r="AXY11" s="237"/>
      <c r="AXZ11" s="237" t="s">
        <v>102</v>
      </c>
      <c r="AYA11" s="237"/>
      <c r="AYB11" s="237"/>
      <c r="AYC11" s="237"/>
      <c r="AYD11" s="237"/>
      <c r="AYE11" s="237"/>
      <c r="AYF11" s="237"/>
      <c r="AYG11" s="237"/>
      <c r="AYH11" s="237"/>
      <c r="AYI11" s="237"/>
      <c r="AYJ11" s="237"/>
      <c r="AYK11" s="237"/>
      <c r="AYL11" s="237"/>
      <c r="AYM11" s="237"/>
      <c r="AYN11" s="237"/>
      <c r="AYO11" s="237"/>
      <c r="AYP11" s="237"/>
      <c r="AYQ11" s="237"/>
      <c r="AYR11" s="237"/>
      <c r="AYS11" s="237"/>
      <c r="AYT11" s="237"/>
      <c r="AYU11" s="237"/>
      <c r="AYV11" s="237"/>
      <c r="AYW11" s="237"/>
      <c r="AYX11" s="237"/>
      <c r="AYY11" s="237"/>
      <c r="AYZ11" s="237"/>
      <c r="AZA11" s="237"/>
      <c r="AZB11" s="237"/>
      <c r="AZC11" s="237"/>
      <c r="AZD11" s="237"/>
      <c r="AZE11" s="237"/>
      <c r="AZF11" s="237"/>
      <c r="AZG11" s="237"/>
      <c r="AZH11" s="237"/>
      <c r="AZI11" s="237"/>
      <c r="AZJ11" s="237"/>
      <c r="AZK11" s="237"/>
      <c r="AZL11" s="237"/>
      <c r="AZM11" s="237"/>
      <c r="AZN11" s="237"/>
      <c r="AZO11" s="237"/>
      <c r="AZP11" s="237"/>
      <c r="AZQ11" s="237"/>
      <c r="AZR11" s="237"/>
      <c r="AZS11" s="237"/>
      <c r="AZT11" s="237"/>
      <c r="AZU11" s="237"/>
      <c r="AZV11" s="237"/>
      <c r="AZW11" s="237"/>
      <c r="AZX11" s="237"/>
      <c r="AZY11" s="237"/>
      <c r="AZZ11" s="237"/>
      <c r="BAA11" s="237"/>
      <c r="BAB11" s="237"/>
      <c r="BAC11" s="237"/>
      <c r="BAD11" s="237"/>
      <c r="BAE11" s="237"/>
      <c r="BAF11" s="237"/>
      <c r="BAG11" s="237"/>
      <c r="BAH11" s="237" t="s">
        <v>102</v>
      </c>
      <c r="BAI11" s="237"/>
      <c r="BAJ11" s="237"/>
      <c r="BAK11" s="237"/>
      <c r="BAL11" s="237"/>
      <c r="BAM11" s="237"/>
      <c r="BAN11" s="237"/>
      <c r="BAO11" s="237"/>
      <c r="BAP11" s="237"/>
      <c r="BAQ11" s="237"/>
      <c r="BAR11" s="237"/>
      <c r="BAS11" s="237"/>
      <c r="BAT11" s="237"/>
      <c r="BAU11" s="237"/>
      <c r="BAV11" s="237"/>
      <c r="BAW11" s="237"/>
      <c r="BAX11" s="237"/>
      <c r="BAY11" s="237"/>
      <c r="BAZ11" s="237"/>
      <c r="BBA11" s="237"/>
      <c r="BBB11" s="237"/>
      <c r="BBC11" s="237"/>
      <c r="BBD11" s="237"/>
      <c r="BBE11" s="237"/>
      <c r="BBF11" s="237"/>
      <c r="BBG11" s="237"/>
      <c r="BBH11" s="237"/>
      <c r="BBI11" s="237"/>
      <c r="BBJ11" s="237"/>
      <c r="BBK11" s="237"/>
      <c r="BBL11" s="237"/>
      <c r="BBM11" s="237"/>
      <c r="BBN11" s="237"/>
      <c r="BBO11" s="237"/>
      <c r="BBP11" s="237"/>
      <c r="BBQ11" s="237"/>
      <c r="BBR11" s="237"/>
      <c r="BBS11" s="237"/>
      <c r="BBT11" s="237"/>
      <c r="BBU11" s="237"/>
      <c r="BBV11" s="237"/>
      <c r="BBW11" s="237"/>
      <c r="BBX11" s="237"/>
      <c r="BBY11" s="237"/>
      <c r="BBZ11" s="237"/>
      <c r="BCA11" s="237"/>
      <c r="BCB11" s="237"/>
      <c r="BCC11" s="237"/>
      <c r="BCD11" s="237"/>
      <c r="BCE11" s="237"/>
      <c r="BCF11" s="237"/>
      <c r="BCG11" s="237"/>
      <c r="BCH11" s="237"/>
      <c r="BCI11" s="237"/>
      <c r="BCJ11" s="237"/>
      <c r="BCK11" s="237"/>
      <c r="BCL11" s="237"/>
      <c r="BCM11" s="237"/>
      <c r="BCN11" s="237"/>
      <c r="BCO11" s="237"/>
      <c r="BCP11" s="237" t="s">
        <v>108</v>
      </c>
      <c r="BCQ11" s="237"/>
      <c r="BCR11" s="237"/>
      <c r="BCS11" s="237"/>
      <c r="BCT11" s="237"/>
      <c r="BCU11" s="237"/>
      <c r="BCV11" s="237"/>
      <c r="BCW11" s="237"/>
      <c r="BCX11" s="237"/>
      <c r="BCY11" s="237"/>
      <c r="BCZ11" s="237"/>
      <c r="BDA11" s="237"/>
      <c r="BDB11" s="237"/>
      <c r="BDC11" s="237"/>
      <c r="BDD11" s="237"/>
      <c r="BDE11" s="237"/>
      <c r="BDF11" s="237"/>
      <c r="BDG11" s="237"/>
      <c r="BDH11" s="237"/>
      <c r="BDI11" s="237"/>
      <c r="BDJ11" s="237"/>
      <c r="BDK11" s="237"/>
      <c r="BDL11" s="237"/>
      <c r="BDM11" s="237"/>
      <c r="BDN11" s="237"/>
      <c r="BDO11" s="237"/>
      <c r="BDP11" s="237"/>
      <c r="BDQ11" s="237"/>
      <c r="BDR11" s="237"/>
      <c r="BDS11" s="237"/>
      <c r="BDT11" s="237"/>
      <c r="BDU11" s="237"/>
      <c r="BDV11" s="237"/>
      <c r="BDW11" s="237"/>
      <c r="BDX11" s="237"/>
      <c r="BDY11" s="237"/>
      <c r="BDZ11" s="237"/>
      <c r="BEA11" s="237"/>
      <c r="BEB11" s="237"/>
      <c r="BEC11" s="237"/>
      <c r="BED11" s="237"/>
      <c r="BEE11" s="237"/>
      <c r="BEF11" s="237"/>
      <c r="BEG11" s="237"/>
      <c r="BEH11" s="237"/>
      <c r="BEI11" s="237"/>
      <c r="BEJ11" s="237"/>
      <c r="BEK11" s="237"/>
      <c r="BEL11" s="237"/>
      <c r="BEM11" s="237"/>
      <c r="BEN11" s="237"/>
      <c r="BEO11" s="237"/>
      <c r="BEP11" s="237"/>
      <c r="BEQ11" s="237"/>
      <c r="BER11" s="237"/>
      <c r="BES11" s="237"/>
      <c r="BET11" s="237"/>
      <c r="BEU11" s="237"/>
      <c r="BEV11" s="237"/>
      <c r="BEW11" s="237"/>
      <c r="BEX11" s="237" t="s">
        <v>108</v>
      </c>
      <c r="BEY11" s="237"/>
      <c r="BEZ11" s="237"/>
      <c r="BFA11" s="237"/>
      <c r="BFB11" s="237"/>
      <c r="BFC11" s="237"/>
      <c r="BFD11" s="237"/>
      <c r="BFE11" s="237"/>
      <c r="BFF11" s="237"/>
      <c r="BFG11" s="237"/>
      <c r="BFH11" s="237"/>
      <c r="BFI11" s="237"/>
      <c r="BFJ11" s="237"/>
      <c r="BFK11" s="237"/>
      <c r="BFL11" s="237"/>
      <c r="BFM11" s="237"/>
      <c r="BFN11" s="237"/>
      <c r="BFO11" s="237"/>
      <c r="BFP11" s="237"/>
      <c r="BFQ11" s="237"/>
      <c r="BFR11" s="237"/>
      <c r="BFS11" s="237"/>
      <c r="BFT11" s="237"/>
      <c r="BFU11" s="237"/>
      <c r="BFV11" s="237"/>
      <c r="BFW11" s="237"/>
      <c r="BFX11" s="237"/>
      <c r="BFY11" s="237"/>
      <c r="BFZ11" s="237"/>
      <c r="BGA11" s="237"/>
      <c r="BGB11" s="237"/>
      <c r="BGC11" s="237"/>
      <c r="BGD11" s="237"/>
      <c r="BGE11" s="237"/>
      <c r="BGF11" s="237"/>
      <c r="BGG11" s="237"/>
      <c r="BGH11" s="237"/>
      <c r="BGI11" s="237"/>
      <c r="BGJ11" s="237"/>
      <c r="BGK11" s="237"/>
      <c r="BGL11" s="237"/>
      <c r="BGM11" s="237"/>
      <c r="BGN11" s="237"/>
      <c r="BGO11" s="237"/>
      <c r="BGP11" s="237"/>
      <c r="BGQ11" s="237"/>
      <c r="BGR11" s="237"/>
      <c r="BGS11" s="237"/>
      <c r="BGT11" s="237"/>
      <c r="BGU11" s="237"/>
      <c r="BGV11" s="237"/>
      <c r="BGW11" s="237"/>
      <c r="BGX11" s="237"/>
      <c r="BGY11" s="237"/>
      <c r="BGZ11" s="237"/>
      <c r="BHA11" s="237"/>
      <c r="BHB11" s="237"/>
      <c r="BHC11" s="237"/>
      <c r="BHD11" s="237"/>
      <c r="BHE11" s="237"/>
      <c r="BHF11" s="90"/>
    </row>
    <row r="12" spans="1:1566" ht="15.75" customHeight="1" thickBot="1" x14ac:dyDescent="0.3">
      <c r="B12" s="97"/>
      <c r="C12" s="244"/>
      <c r="D12" s="244"/>
      <c r="E12" s="244"/>
      <c r="F12" s="251" t="s">
        <v>69</v>
      </c>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1"/>
      <c r="AH12" s="251"/>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51"/>
      <c r="BF12" s="251"/>
      <c r="BG12" s="251"/>
      <c r="BH12" s="251"/>
      <c r="BI12" s="251"/>
      <c r="BJ12" s="251"/>
      <c r="BK12" s="251"/>
      <c r="BL12" s="251"/>
      <c r="BM12" s="251"/>
      <c r="BN12" s="251" t="s">
        <v>71</v>
      </c>
      <c r="BO12" s="251"/>
      <c r="BP12" s="251"/>
      <c r="BQ12" s="251"/>
      <c r="BR12" s="251"/>
      <c r="BS12" s="251"/>
      <c r="BT12" s="251"/>
      <c r="BU12" s="251"/>
      <c r="BV12" s="251"/>
      <c r="BW12" s="251"/>
      <c r="BX12" s="251"/>
      <c r="BY12" s="251"/>
      <c r="BZ12" s="251"/>
      <c r="CA12" s="251"/>
      <c r="CB12" s="251"/>
      <c r="CC12" s="251"/>
      <c r="CD12" s="251"/>
      <c r="CE12" s="251"/>
      <c r="CF12" s="251"/>
      <c r="CG12" s="251"/>
      <c r="CH12" s="251"/>
      <c r="CI12" s="251"/>
      <c r="CJ12" s="251"/>
      <c r="CK12" s="251"/>
      <c r="CL12" s="251"/>
      <c r="CM12" s="251"/>
      <c r="CN12" s="251"/>
      <c r="CO12" s="251"/>
      <c r="CP12" s="251"/>
      <c r="CQ12" s="251"/>
      <c r="CR12" s="251"/>
      <c r="CS12" s="251"/>
      <c r="CT12" s="251"/>
      <c r="CU12" s="251"/>
      <c r="CV12" s="251"/>
      <c r="CW12" s="251"/>
      <c r="CX12" s="251"/>
      <c r="CY12" s="251"/>
      <c r="CZ12" s="251"/>
      <c r="DA12" s="251"/>
      <c r="DB12" s="251"/>
      <c r="DC12" s="251"/>
      <c r="DD12" s="251"/>
      <c r="DE12" s="251"/>
      <c r="DF12" s="251"/>
      <c r="DG12" s="251"/>
      <c r="DH12" s="251"/>
      <c r="DI12" s="251"/>
      <c r="DJ12" s="251"/>
      <c r="DK12" s="251"/>
      <c r="DL12" s="251"/>
      <c r="DM12" s="251"/>
      <c r="DN12" s="251"/>
      <c r="DO12" s="251"/>
      <c r="DP12" s="251"/>
      <c r="DQ12" s="251"/>
      <c r="DR12" s="251"/>
      <c r="DS12" s="251"/>
      <c r="DT12" s="251"/>
      <c r="DU12" s="251"/>
      <c r="DV12" s="238" t="s">
        <v>72</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38" t="s">
        <v>71</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71</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72</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71</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69</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71</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72</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71</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69</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71</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72</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71</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71</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72</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71</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72</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71</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72</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71</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69</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71</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72</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71</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90"/>
    </row>
    <row r="13" spans="1:1566" ht="42.75" customHeight="1" thickBot="1" x14ac:dyDescent="0.3">
      <c r="B13" s="96"/>
      <c r="C13" s="261" t="s">
        <v>7</v>
      </c>
      <c r="D13" s="144"/>
      <c r="E13" s="263" t="s">
        <v>36</v>
      </c>
      <c r="F13" s="239" t="s">
        <v>8</v>
      </c>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1"/>
      <c r="BN13" s="239" t="s">
        <v>25</v>
      </c>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1"/>
      <c r="DV13" s="239" t="s">
        <v>16</v>
      </c>
      <c r="DW13" s="240"/>
      <c r="DX13" s="240"/>
      <c r="DY13" s="240"/>
      <c r="DZ13" s="240"/>
      <c r="EA13" s="240"/>
      <c r="EB13" s="240"/>
      <c r="EC13" s="240"/>
      <c r="ED13" s="240"/>
      <c r="EE13" s="240"/>
      <c r="EF13" s="240"/>
      <c r="EG13" s="240"/>
      <c r="EH13" s="240"/>
      <c r="EI13" s="240"/>
      <c r="EJ13" s="240"/>
      <c r="EK13" s="240"/>
      <c r="EL13" s="240"/>
      <c r="EM13" s="240"/>
      <c r="EN13" s="240"/>
      <c r="EO13" s="240"/>
      <c r="EP13" s="240"/>
      <c r="EQ13" s="240"/>
      <c r="ER13" s="240"/>
      <c r="ES13" s="240"/>
      <c r="ET13" s="240"/>
      <c r="EU13" s="240"/>
      <c r="EV13" s="240"/>
      <c r="EW13" s="240"/>
      <c r="EX13" s="240"/>
      <c r="EY13" s="240"/>
      <c r="EZ13" s="240"/>
      <c r="FA13" s="240"/>
      <c r="FB13" s="240"/>
      <c r="FC13" s="240"/>
      <c r="FD13" s="240"/>
      <c r="FE13" s="240"/>
      <c r="FF13" s="240"/>
      <c r="FG13" s="240"/>
      <c r="FH13" s="240"/>
      <c r="FI13" s="240"/>
      <c r="FJ13" s="240"/>
      <c r="FK13" s="240"/>
      <c r="FL13" s="240"/>
      <c r="FM13" s="240"/>
      <c r="FN13" s="240"/>
      <c r="FO13" s="240"/>
      <c r="FP13" s="240"/>
      <c r="FQ13" s="240"/>
      <c r="FR13" s="240"/>
      <c r="FS13" s="240"/>
      <c r="FT13" s="240"/>
      <c r="FU13" s="240"/>
      <c r="FV13" s="240"/>
      <c r="FW13" s="240"/>
      <c r="FX13" s="240"/>
      <c r="FY13" s="240"/>
      <c r="FZ13" s="240"/>
      <c r="GA13" s="240"/>
      <c r="GB13" s="240"/>
      <c r="GC13" s="241"/>
      <c r="GD13" s="239" t="s">
        <v>78</v>
      </c>
      <c r="GE13" s="240"/>
      <c r="GF13" s="240"/>
      <c r="GG13" s="240"/>
      <c r="GH13" s="240"/>
      <c r="GI13" s="240"/>
      <c r="GJ13" s="240"/>
      <c r="GK13" s="240"/>
      <c r="GL13" s="240"/>
      <c r="GM13" s="240"/>
      <c r="GN13" s="240"/>
      <c r="GO13" s="240"/>
      <c r="GP13" s="240"/>
      <c r="GQ13" s="240"/>
      <c r="GR13" s="240"/>
      <c r="GS13" s="240"/>
      <c r="GT13" s="240"/>
      <c r="GU13" s="240"/>
      <c r="GV13" s="240"/>
      <c r="GW13" s="240"/>
      <c r="GX13" s="240"/>
      <c r="GY13" s="240"/>
      <c r="GZ13" s="240"/>
      <c r="HA13" s="240"/>
      <c r="HB13" s="240"/>
      <c r="HC13" s="240"/>
      <c r="HD13" s="240"/>
      <c r="HE13" s="240"/>
      <c r="HF13" s="240"/>
      <c r="HG13" s="240"/>
      <c r="HH13" s="240"/>
      <c r="HI13" s="240"/>
      <c r="HJ13" s="240"/>
      <c r="HK13" s="240"/>
      <c r="HL13" s="240"/>
      <c r="HM13" s="240"/>
      <c r="HN13" s="240"/>
      <c r="HO13" s="240"/>
      <c r="HP13" s="240"/>
      <c r="HQ13" s="240"/>
      <c r="HR13" s="240"/>
      <c r="HS13" s="240"/>
      <c r="HT13" s="240"/>
      <c r="HU13" s="240"/>
      <c r="HV13" s="240"/>
      <c r="HW13" s="240"/>
      <c r="HX13" s="240"/>
      <c r="HY13" s="240"/>
      <c r="HZ13" s="240"/>
      <c r="IA13" s="240"/>
      <c r="IB13" s="240"/>
      <c r="IC13" s="240"/>
      <c r="ID13" s="240"/>
      <c r="IE13" s="240"/>
      <c r="IF13" s="240"/>
      <c r="IG13" s="240"/>
      <c r="IH13" s="240"/>
      <c r="II13" s="240"/>
      <c r="IJ13" s="240"/>
      <c r="IK13" s="241"/>
      <c r="IL13" s="239" t="s">
        <v>76</v>
      </c>
      <c r="IM13" s="240"/>
      <c r="IN13" s="240"/>
      <c r="IO13" s="240"/>
      <c r="IP13" s="240"/>
      <c r="IQ13" s="240"/>
      <c r="IR13" s="240"/>
      <c r="IS13" s="240"/>
      <c r="IT13" s="240"/>
      <c r="IU13" s="240"/>
      <c r="IV13" s="240"/>
      <c r="IW13" s="240"/>
      <c r="IX13" s="240"/>
      <c r="IY13" s="240"/>
      <c r="IZ13" s="240"/>
      <c r="JA13" s="240"/>
      <c r="JB13" s="240"/>
      <c r="JC13" s="240"/>
      <c r="JD13" s="240"/>
      <c r="JE13" s="240"/>
      <c r="JF13" s="240"/>
      <c r="JG13" s="240"/>
      <c r="JH13" s="240"/>
      <c r="JI13" s="240"/>
      <c r="JJ13" s="240"/>
      <c r="JK13" s="240"/>
      <c r="JL13" s="240"/>
      <c r="JM13" s="240"/>
      <c r="JN13" s="240"/>
      <c r="JO13" s="240"/>
      <c r="JP13" s="240"/>
      <c r="JQ13" s="240"/>
      <c r="JR13" s="240"/>
      <c r="JS13" s="240"/>
      <c r="JT13" s="240"/>
      <c r="JU13" s="240"/>
      <c r="JV13" s="240"/>
      <c r="JW13" s="240"/>
      <c r="JX13" s="240"/>
      <c r="JY13" s="240"/>
      <c r="JZ13" s="240"/>
      <c r="KA13" s="240"/>
      <c r="KB13" s="240"/>
      <c r="KC13" s="240"/>
      <c r="KD13" s="240"/>
      <c r="KE13" s="240"/>
      <c r="KF13" s="240"/>
      <c r="KG13" s="240"/>
      <c r="KH13" s="240"/>
      <c r="KI13" s="240"/>
      <c r="KJ13" s="240"/>
      <c r="KK13" s="240"/>
      <c r="KL13" s="240"/>
      <c r="KM13" s="240"/>
      <c r="KN13" s="240"/>
      <c r="KO13" s="240"/>
      <c r="KP13" s="240"/>
      <c r="KQ13" s="240"/>
      <c r="KR13" s="240"/>
      <c r="KS13" s="241"/>
      <c r="KT13" s="239" t="s">
        <v>75</v>
      </c>
      <c r="KU13" s="240"/>
      <c r="KV13" s="240"/>
      <c r="KW13" s="240"/>
      <c r="KX13" s="240"/>
      <c r="KY13" s="240"/>
      <c r="KZ13" s="240"/>
      <c r="LA13" s="240"/>
      <c r="LB13" s="240"/>
      <c r="LC13" s="240"/>
      <c r="LD13" s="240"/>
      <c r="LE13" s="240"/>
      <c r="LF13" s="240"/>
      <c r="LG13" s="240"/>
      <c r="LH13" s="240"/>
      <c r="LI13" s="240"/>
      <c r="LJ13" s="240"/>
      <c r="LK13" s="240"/>
      <c r="LL13" s="240"/>
      <c r="LM13" s="240"/>
      <c r="LN13" s="240"/>
      <c r="LO13" s="240"/>
      <c r="LP13" s="240"/>
      <c r="LQ13" s="240"/>
      <c r="LR13" s="240"/>
      <c r="LS13" s="240"/>
      <c r="LT13" s="240"/>
      <c r="LU13" s="240"/>
      <c r="LV13" s="240"/>
      <c r="LW13" s="240"/>
      <c r="LX13" s="240"/>
      <c r="LY13" s="240"/>
      <c r="LZ13" s="240"/>
      <c r="MA13" s="240"/>
      <c r="MB13" s="240"/>
      <c r="MC13" s="240"/>
      <c r="MD13" s="240"/>
      <c r="ME13" s="240"/>
      <c r="MF13" s="240"/>
      <c r="MG13" s="240"/>
      <c r="MH13" s="240"/>
      <c r="MI13" s="240"/>
      <c r="MJ13" s="240"/>
      <c r="MK13" s="240"/>
      <c r="ML13" s="240"/>
      <c r="MM13" s="240"/>
      <c r="MN13" s="240"/>
      <c r="MO13" s="240"/>
      <c r="MP13" s="240"/>
      <c r="MQ13" s="240"/>
      <c r="MR13" s="240"/>
      <c r="MS13" s="240"/>
      <c r="MT13" s="240"/>
      <c r="MU13" s="240"/>
      <c r="MV13" s="240"/>
      <c r="MW13" s="240"/>
      <c r="MX13" s="240"/>
      <c r="MY13" s="240"/>
      <c r="MZ13" s="240"/>
      <c r="NA13" s="241"/>
      <c r="NB13" s="239" t="s">
        <v>73</v>
      </c>
      <c r="NC13" s="240"/>
      <c r="ND13" s="240"/>
      <c r="NE13" s="240"/>
      <c r="NF13" s="240"/>
      <c r="NG13" s="240"/>
      <c r="NH13" s="240"/>
      <c r="NI13" s="240"/>
      <c r="NJ13" s="240"/>
      <c r="NK13" s="240"/>
      <c r="NL13" s="240"/>
      <c r="NM13" s="240"/>
      <c r="NN13" s="240"/>
      <c r="NO13" s="240"/>
      <c r="NP13" s="240"/>
      <c r="NQ13" s="240"/>
      <c r="NR13" s="240"/>
      <c r="NS13" s="240"/>
      <c r="NT13" s="240"/>
      <c r="NU13" s="240"/>
      <c r="NV13" s="240"/>
      <c r="NW13" s="240"/>
      <c r="NX13" s="240"/>
      <c r="NY13" s="240"/>
      <c r="NZ13" s="240"/>
      <c r="OA13" s="240"/>
      <c r="OB13" s="240"/>
      <c r="OC13" s="240"/>
      <c r="OD13" s="240"/>
      <c r="OE13" s="240"/>
      <c r="OF13" s="240"/>
      <c r="OG13" s="240"/>
      <c r="OH13" s="240"/>
      <c r="OI13" s="240"/>
      <c r="OJ13" s="240"/>
      <c r="OK13" s="240"/>
      <c r="OL13" s="240"/>
      <c r="OM13" s="240"/>
      <c r="ON13" s="240"/>
      <c r="OO13" s="240"/>
      <c r="OP13" s="240"/>
      <c r="OQ13" s="240"/>
      <c r="OR13" s="240"/>
      <c r="OS13" s="240"/>
      <c r="OT13" s="240"/>
      <c r="OU13" s="240"/>
      <c r="OV13" s="240"/>
      <c r="OW13" s="240"/>
      <c r="OX13" s="240"/>
      <c r="OY13" s="240"/>
      <c r="OZ13" s="240"/>
      <c r="PA13" s="240"/>
      <c r="PB13" s="240"/>
      <c r="PC13" s="240"/>
      <c r="PD13" s="240"/>
      <c r="PE13" s="240"/>
      <c r="PF13" s="240"/>
      <c r="PG13" s="240"/>
      <c r="PH13" s="240"/>
      <c r="PI13" s="241"/>
      <c r="PJ13" s="239" t="s">
        <v>92</v>
      </c>
      <c r="PK13" s="240"/>
      <c r="PL13" s="240"/>
      <c r="PM13" s="240"/>
      <c r="PN13" s="240"/>
      <c r="PO13" s="240"/>
      <c r="PP13" s="240"/>
      <c r="PQ13" s="240"/>
      <c r="PR13" s="240"/>
      <c r="PS13" s="240"/>
      <c r="PT13" s="240"/>
      <c r="PU13" s="240"/>
      <c r="PV13" s="240"/>
      <c r="PW13" s="240"/>
      <c r="PX13" s="240"/>
      <c r="PY13" s="240"/>
      <c r="PZ13" s="240"/>
      <c r="QA13" s="240"/>
      <c r="QB13" s="240"/>
      <c r="QC13" s="240"/>
      <c r="QD13" s="240"/>
      <c r="QE13" s="240"/>
      <c r="QF13" s="240"/>
      <c r="QG13" s="240"/>
      <c r="QH13" s="240"/>
      <c r="QI13" s="240"/>
      <c r="QJ13" s="240"/>
      <c r="QK13" s="240"/>
      <c r="QL13" s="240"/>
      <c r="QM13" s="240"/>
      <c r="QN13" s="240"/>
      <c r="QO13" s="240"/>
      <c r="QP13" s="240"/>
      <c r="QQ13" s="240"/>
      <c r="QR13" s="240"/>
      <c r="QS13" s="240"/>
      <c r="QT13" s="240"/>
      <c r="QU13" s="240"/>
      <c r="QV13" s="240"/>
      <c r="QW13" s="240"/>
      <c r="QX13" s="240"/>
      <c r="QY13" s="240"/>
      <c r="QZ13" s="240"/>
      <c r="RA13" s="240"/>
      <c r="RB13" s="240"/>
      <c r="RC13" s="240"/>
      <c r="RD13" s="240"/>
      <c r="RE13" s="240"/>
      <c r="RF13" s="240"/>
      <c r="RG13" s="240"/>
      <c r="RH13" s="240"/>
      <c r="RI13" s="240"/>
      <c r="RJ13" s="240"/>
      <c r="RK13" s="240"/>
      <c r="RL13" s="240"/>
      <c r="RM13" s="240"/>
      <c r="RN13" s="240"/>
      <c r="RO13" s="240"/>
      <c r="RP13" s="240"/>
      <c r="RQ13" s="241"/>
      <c r="RR13" s="239" t="s">
        <v>90</v>
      </c>
      <c r="RS13" s="240"/>
      <c r="RT13" s="240"/>
      <c r="RU13" s="240"/>
      <c r="RV13" s="240"/>
      <c r="RW13" s="240"/>
      <c r="RX13" s="240"/>
      <c r="RY13" s="240"/>
      <c r="RZ13" s="240"/>
      <c r="SA13" s="240"/>
      <c r="SB13" s="240"/>
      <c r="SC13" s="240"/>
      <c r="SD13" s="240"/>
      <c r="SE13" s="240"/>
      <c r="SF13" s="240"/>
      <c r="SG13" s="240"/>
      <c r="SH13" s="240"/>
      <c r="SI13" s="240"/>
      <c r="SJ13" s="240"/>
      <c r="SK13" s="240"/>
      <c r="SL13" s="240"/>
      <c r="SM13" s="240"/>
      <c r="SN13" s="240"/>
      <c r="SO13" s="240"/>
      <c r="SP13" s="240"/>
      <c r="SQ13" s="240"/>
      <c r="SR13" s="240"/>
      <c r="SS13" s="240"/>
      <c r="ST13" s="240"/>
      <c r="SU13" s="240"/>
      <c r="SV13" s="240"/>
      <c r="SW13" s="240"/>
      <c r="SX13" s="240"/>
      <c r="SY13" s="240"/>
      <c r="SZ13" s="240"/>
      <c r="TA13" s="240"/>
      <c r="TB13" s="240"/>
      <c r="TC13" s="240"/>
      <c r="TD13" s="240"/>
      <c r="TE13" s="240"/>
      <c r="TF13" s="240"/>
      <c r="TG13" s="240"/>
      <c r="TH13" s="240"/>
      <c r="TI13" s="240"/>
      <c r="TJ13" s="240"/>
      <c r="TK13" s="240"/>
      <c r="TL13" s="240"/>
      <c r="TM13" s="240"/>
      <c r="TN13" s="240"/>
      <c r="TO13" s="240"/>
      <c r="TP13" s="240"/>
      <c r="TQ13" s="240"/>
      <c r="TR13" s="240"/>
      <c r="TS13" s="240"/>
      <c r="TT13" s="240"/>
      <c r="TU13" s="240"/>
      <c r="TV13" s="240"/>
      <c r="TW13" s="240"/>
      <c r="TX13" s="240"/>
      <c r="TY13" s="241"/>
      <c r="TZ13" s="239" t="s">
        <v>89</v>
      </c>
      <c r="UA13" s="240"/>
      <c r="UB13" s="240"/>
      <c r="UC13" s="240"/>
      <c r="UD13" s="240"/>
      <c r="UE13" s="240"/>
      <c r="UF13" s="240"/>
      <c r="UG13" s="240"/>
      <c r="UH13" s="240"/>
      <c r="UI13" s="240"/>
      <c r="UJ13" s="240"/>
      <c r="UK13" s="240"/>
      <c r="UL13" s="240"/>
      <c r="UM13" s="240"/>
      <c r="UN13" s="240"/>
      <c r="UO13" s="240"/>
      <c r="UP13" s="240"/>
      <c r="UQ13" s="240"/>
      <c r="UR13" s="240"/>
      <c r="US13" s="240"/>
      <c r="UT13" s="240"/>
      <c r="UU13" s="240"/>
      <c r="UV13" s="240"/>
      <c r="UW13" s="240"/>
      <c r="UX13" s="240"/>
      <c r="UY13" s="240"/>
      <c r="UZ13" s="240"/>
      <c r="VA13" s="240"/>
      <c r="VB13" s="240"/>
      <c r="VC13" s="240"/>
      <c r="VD13" s="240"/>
      <c r="VE13" s="240"/>
      <c r="VF13" s="240"/>
      <c r="VG13" s="240"/>
      <c r="VH13" s="240"/>
      <c r="VI13" s="240"/>
      <c r="VJ13" s="240"/>
      <c r="VK13" s="240"/>
      <c r="VL13" s="240"/>
      <c r="VM13" s="240"/>
      <c r="VN13" s="240"/>
      <c r="VO13" s="240"/>
      <c r="VP13" s="240"/>
      <c r="VQ13" s="240"/>
      <c r="VR13" s="240"/>
      <c r="VS13" s="240"/>
      <c r="VT13" s="240"/>
      <c r="VU13" s="240"/>
      <c r="VV13" s="240"/>
      <c r="VW13" s="240"/>
      <c r="VX13" s="240"/>
      <c r="VY13" s="240"/>
      <c r="VZ13" s="240"/>
      <c r="WA13" s="240"/>
      <c r="WB13" s="240"/>
      <c r="WC13" s="240"/>
      <c r="WD13" s="240"/>
      <c r="WE13" s="240"/>
      <c r="WF13" s="240"/>
      <c r="WG13" s="241"/>
      <c r="WH13" s="239" t="s">
        <v>87</v>
      </c>
      <c r="WI13" s="240"/>
      <c r="WJ13" s="240"/>
      <c r="WK13" s="240"/>
      <c r="WL13" s="240"/>
      <c r="WM13" s="240"/>
      <c r="WN13" s="240"/>
      <c r="WO13" s="240"/>
      <c r="WP13" s="240"/>
      <c r="WQ13" s="240"/>
      <c r="WR13" s="240"/>
      <c r="WS13" s="240"/>
      <c r="WT13" s="240"/>
      <c r="WU13" s="240"/>
      <c r="WV13" s="240"/>
      <c r="WW13" s="240"/>
      <c r="WX13" s="240"/>
      <c r="WY13" s="240"/>
      <c r="WZ13" s="240"/>
      <c r="XA13" s="240"/>
      <c r="XB13" s="240"/>
      <c r="XC13" s="240"/>
      <c r="XD13" s="240"/>
      <c r="XE13" s="240"/>
      <c r="XF13" s="240"/>
      <c r="XG13" s="240"/>
      <c r="XH13" s="240"/>
      <c r="XI13" s="240"/>
      <c r="XJ13" s="240"/>
      <c r="XK13" s="240"/>
      <c r="XL13" s="240"/>
      <c r="XM13" s="240"/>
      <c r="XN13" s="240"/>
      <c r="XO13" s="240"/>
      <c r="XP13" s="240"/>
      <c r="XQ13" s="240"/>
      <c r="XR13" s="240"/>
      <c r="XS13" s="240"/>
      <c r="XT13" s="240"/>
      <c r="XU13" s="240"/>
      <c r="XV13" s="240"/>
      <c r="XW13" s="240"/>
      <c r="XX13" s="240"/>
      <c r="XY13" s="240"/>
      <c r="XZ13" s="240"/>
      <c r="YA13" s="240"/>
      <c r="YB13" s="240"/>
      <c r="YC13" s="240"/>
      <c r="YD13" s="240"/>
      <c r="YE13" s="240"/>
      <c r="YF13" s="240"/>
      <c r="YG13" s="240"/>
      <c r="YH13" s="240"/>
      <c r="YI13" s="240"/>
      <c r="YJ13" s="240"/>
      <c r="YK13" s="240"/>
      <c r="YL13" s="240"/>
      <c r="YM13" s="240"/>
      <c r="YN13" s="240"/>
      <c r="YO13" s="241"/>
      <c r="YP13" s="239" t="s">
        <v>86</v>
      </c>
      <c r="YQ13" s="240"/>
      <c r="YR13" s="240"/>
      <c r="YS13" s="240"/>
      <c r="YT13" s="240"/>
      <c r="YU13" s="240"/>
      <c r="YV13" s="240"/>
      <c r="YW13" s="240"/>
      <c r="YX13" s="240"/>
      <c r="YY13" s="240"/>
      <c r="YZ13" s="240"/>
      <c r="ZA13" s="240"/>
      <c r="ZB13" s="240"/>
      <c r="ZC13" s="240"/>
      <c r="ZD13" s="240"/>
      <c r="ZE13" s="240"/>
      <c r="ZF13" s="240"/>
      <c r="ZG13" s="240"/>
      <c r="ZH13" s="240"/>
      <c r="ZI13" s="240"/>
      <c r="ZJ13" s="240"/>
      <c r="ZK13" s="240"/>
      <c r="ZL13" s="240"/>
      <c r="ZM13" s="240"/>
      <c r="ZN13" s="240"/>
      <c r="ZO13" s="240"/>
      <c r="ZP13" s="240"/>
      <c r="ZQ13" s="240"/>
      <c r="ZR13" s="240"/>
      <c r="ZS13" s="240"/>
      <c r="ZT13" s="240"/>
      <c r="ZU13" s="240"/>
      <c r="ZV13" s="240"/>
      <c r="ZW13" s="240"/>
      <c r="ZX13" s="240"/>
      <c r="ZY13" s="240"/>
      <c r="ZZ13" s="240"/>
      <c r="AAA13" s="240"/>
      <c r="AAB13" s="240"/>
      <c r="AAC13" s="240"/>
      <c r="AAD13" s="240"/>
      <c r="AAE13" s="240"/>
      <c r="AAF13" s="240"/>
      <c r="AAG13" s="240"/>
      <c r="AAH13" s="240"/>
      <c r="AAI13" s="240"/>
      <c r="AAJ13" s="240"/>
      <c r="AAK13" s="240"/>
      <c r="AAL13" s="240"/>
      <c r="AAM13" s="240"/>
      <c r="AAN13" s="240"/>
      <c r="AAO13" s="240"/>
      <c r="AAP13" s="240"/>
      <c r="AAQ13" s="240"/>
      <c r="AAR13" s="240"/>
      <c r="AAS13" s="240"/>
      <c r="AAT13" s="240"/>
      <c r="AAU13" s="240"/>
      <c r="AAV13" s="240"/>
      <c r="AAW13" s="241"/>
      <c r="AAX13" s="239" t="s">
        <v>84</v>
      </c>
      <c r="AAY13" s="240"/>
      <c r="AAZ13" s="240"/>
      <c r="ABA13" s="240"/>
      <c r="ABB13" s="240"/>
      <c r="ABC13" s="240"/>
      <c r="ABD13" s="240"/>
      <c r="ABE13" s="240"/>
      <c r="ABF13" s="240"/>
      <c r="ABG13" s="240"/>
      <c r="ABH13" s="240"/>
      <c r="ABI13" s="240"/>
      <c r="ABJ13" s="240"/>
      <c r="ABK13" s="240"/>
      <c r="ABL13" s="240"/>
      <c r="ABM13" s="240"/>
      <c r="ABN13" s="240"/>
      <c r="ABO13" s="240"/>
      <c r="ABP13" s="240"/>
      <c r="ABQ13" s="240"/>
      <c r="ABR13" s="240"/>
      <c r="ABS13" s="240"/>
      <c r="ABT13" s="240"/>
      <c r="ABU13" s="240"/>
      <c r="ABV13" s="240"/>
      <c r="ABW13" s="240"/>
      <c r="ABX13" s="240"/>
      <c r="ABY13" s="240"/>
      <c r="ABZ13" s="240"/>
      <c r="ACA13" s="240"/>
      <c r="ACB13" s="240"/>
      <c r="ACC13" s="240"/>
      <c r="ACD13" s="240"/>
      <c r="ACE13" s="240"/>
      <c r="ACF13" s="240"/>
      <c r="ACG13" s="240"/>
      <c r="ACH13" s="240"/>
      <c r="ACI13" s="240"/>
      <c r="ACJ13" s="240"/>
      <c r="ACK13" s="240"/>
      <c r="ACL13" s="240"/>
      <c r="ACM13" s="240"/>
      <c r="ACN13" s="240"/>
      <c r="ACO13" s="240"/>
      <c r="ACP13" s="240"/>
      <c r="ACQ13" s="240"/>
      <c r="ACR13" s="240"/>
      <c r="ACS13" s="240"/>
      <c r="ACT13" s="240"/>
      <c r="ACU13" s="240"/>
      <c r="ACV13" s="240"/>
      <c r="ACW13" s="240"/>
      <c r="ACX13" s="240"/>
      <c r="ACY13" s="240"/>
      <c r="ACZ13" s="240"/>
      <c r="ADA13" s="240"/>
      <c r="ADB13" s="240"/>
      <c r="ADC13" s="240"/>
      <c r="ADD13" s="240"/>
      <c r="ADE13" s="241"/>
      <c r="ADF13" s="239" t="s">
        <v>83</v>
      </c>
      <c r="ADG13" s="240"/>
      <c r="ADH13" s="240"/>
      <c r="ADI13" s="240"/>
      <c r="ADJ13" s="240"/>
      <c r="ADK13" s="240"/>
      <c r="ADL13" s="240"/>
      <c r="ADM13" s="240"/>
      <c r="ADN13" s="240"/>
      <c r="ADO13" s="240"/>
      <c r="ADP13" s="240"/>
      <c r="ADQ13" s="240"/>
      <c r="ADR13" s="240"/>
      <c r="ADS13" s="240"/>
      <c r="ADT13" s="240"/>
      <c r="ADU13" s="240"/>
      <c r="ADV13" s="240"/>
      <c r="ADW13" s="240"/>
      <c r="ADX13" s="240"/>
      <c r="ADY13" s="240"/>
      <c r="ADZ13" s="240"/>
      <c r="AEA13" s="240"/>
      <c r="AEB13" s="240"/>
      <c r="AEC13" s="240"/>
      <c r="AED13" s="240"/>
      <c r="AEE13" s="240"/>
      <c r="AEF13" s="240"/>
      <c r="AEG13" s="240"/>
      <c r="AEH13" s="240"/>
      <c r="AEI13" s="240"/>
      <c r="AEJ13" s="240"/>
      <c r="AEK13" s="240"/>
      <c r="AEL13" s="240"/>
      <c r="AEM13" s="240"/>
      <c r="AEN13" s="240"/>
      <c r="AEO13" s="240"/>
      <c r="AEP13" s="240"/>
      <c r="AEQ13" s="240"/>
      <c r="AER13" s="240"/>
      <c r="AES13" s="240"/>
      <c r="AET13" s="240"/>
      <c r="AEU13" s="240"/>
      <c r="AEV13" s="240"/>
      <c r="AEW13" s="240"/>
      <c r="AEX13" s="240"/>
      <c r="AEY13" s="240"/>
      <c r="AEZ13" s="240"/>
      <c r="AFA13" s="240"/>
      <c r="AFB13" s="240"/>
      <c r="AFC13" s="240"/>
      <c r="AFD13" s="240"/>
      <c r="AFE13" s="240"/>
      <c r="AFF13" s="240"/>
      <c r="AFG13" s="240"/>
      <c r="AFH13" s="240"/>
      <c r="AFI13" s="240"/>
      <c r="AFJ13" s="240"/>
      <c r="AFK13" s="240"/>
      <c r="AFL13" s="240"/>
      <c r="AFM13" s="241"/>
      <c r="AFN13" s="239" t="s">
        <v>81</v>
      </c>
      <c r="AFO13" s="240"/>
      <c r="AFP13" s="240"/>
      <c r="AFQ13" s="240"/>
      <c r="AFR13" s="240"/>
      <c r="AFS13" s="240"/>
      <c r="AFT13" s="240"/>
      <c r="AFU13" s="240"/>
      <c r="AFV13" s="240"/>
      <c r="AFW13" s="240"/>
      <c r="AFX13" s="240"/>
      <c r="AFY13" s="240"/>
      <c r="AFZ13" s="240"/>
      <c r="AGA13" s="240"/>
      <c r="AGB13" s="240"/>
      <c r="AGC13" s="240"/>
      <c r="AGD13" s="240"/>
      <c r="AGE13" s="240"/>
      <c r="AGF13" s="240"/>
      <c r="AGG13" s="240"/>
      <c r="AGH13" s="240"/>
      <c r="AGI13" s="240"/>
      <c r="AGJ13" s="240"/>
      <c r="AGK13" s="240"/>
      <c r="AGL13" s="240"/>
      <c r="AGM13" s="240"/>
      <c r="AGN13" s="240"/>
      <c r="AGO13" s="240"/>
      <c r="AGP13" s="240"/>
      <c r="AGQ13" s="240"/>
      <c r="AGR13" s="240"/>
      <c r="AGS13" s="240"/>
      <c r="AGT13" s="240"/>
      <c r="AGU13" s="240"/>
      <c r="AGV13" s="240"/>
      <c r="AGW13" s="240"/>
      <c r="AGX13" s="240"/>
      <c r="AGY13" s="240"/>
      <c r="AGZ13" s="240"/>
      <c r="AHA13" s="240"/>
      <c r="AHB13" s="240"/>
      <c r="AHC13" s="240"/>
      <c r="AHD13" s="240"/>
      <c r="AHE13" s="240"/>
      <c r="AHF13" s="240"/>
      <c r="AHG13" s="240"/>
      <c r="AHH13" s="240"/>
      <c r="AHI13" s="240"/>
      <c r="AHJ13" s="240"/>
      <c r="AHK13" s="240"/>
      <c r="AHL13" s="240"/>
      <c r="AHM13" s="240"/>
      <c r="AHN13" s="240"/>
      <c r="AHO13" s="240"/>
      <c r="AHP13" s="240"/>
      <c r="AHQ13" s="240"/>
      <c r="AHR13" s="240"/>
      <c r="AHS13" s="240"/>
      <c r="AHT13" s="240"/>
      <c r="AHU13" s="241"/>
      <c r="AHV13" s="239" t="s">
        <v>99</v>
      </c>
      <c r="AHW13" s="240"/>
      <c r="AHX13" s="240"/>
      <c r="AHY13" s="240"/>
      <c r="AHZ13" s="240"/>
      <c r="AIA13" s="240"/>
      <c r="AIB13" s="240"/>
      <c r="AIC13" s="240"/>
      <c r="AID13" s="240"/>
      <c r="AIE13" s="240"/>
      <c r="AIF13" s="240"/>
      <c r="AIG13" s="240"/>
      <c r="AIH13" s="240"/>
      <c r="AII13" s="240"/>
      <c r="AIJ13" s="240"/>
      <c r="AIK13" s="240"/>
      <c r="AIL13" s="240"/>
      <c r="AIM13" s="240"/>
      <c r="AIN13" s="240"/>
      <c r="AIO13" s="240"/>
      <c r="AIP13" s="240"/>
      <c r="AIQ13" s="240"/>
      <c r="AIR13" s="240"/>
      <c r="AIS13" s="240"/>
      <c r="AIT13" s="240"/>
      <c r="AIU13" s="240"/>
      <c r="AIV13" s="240"/>
      <c r="AIW13" s="240"/>
      <c r="AIX13" s="240"/>
      <c r="AIY13" s="240"/>
      <c r="AIZ13" s="240"/>
      <c r="AJA13" s="240"/>
      <c r="AJB13" s="240"/>
      <c r="AJC13" s="240"/>
      <c r="AJD13" s="240"/>
      <c r="AJE13" s="240"/>
      <c r="AJF13" s="240"/>
      <c r="AJG13" s="240"/>
      <c r="AJH13" s="240"/>
      <c r="AJI13" s="240"/>
      <c r="AJJ13" s="240"/>
      <c r="AJK13" s="240"/>
      <c r="AJL13" s="240"/>
      <c r="AJM13" s="240"/>
      <c r="AJN13" s="240"/>
      <c r="AJO13" s="240"/>
      <c r="AJP13" s="240"/>
      <c r="AJQ13" s="240"/>
      <c r="AJR13" s="240"/>
      <c r="AJS13" s="240"/>
      <c r="AJT13" s="240"/>
      <c r="AJU13" s="240"/>
      <c r="AJV13" s="240"/>
      <c r="AJW13" s="240"/>
      <c r="AJX13" s="240"/>
      <c r="AJY13" s="240"/>
      <c r="AJZ13" s="240"/>
      <c r="AKA13" s="240"/>
      <c r="AKB13" s="240"/>
      <c r="AKC13" s="241"/>
      <c r="AKD13" s="239" t="s">
        <v>98</v>
      </c>
      <c r="AKE13" s="240"/>
      <c r="AKF13" s="240"/>
      <c r="AKG13" s="240"/>
      <c r="AKH13" s="240"/>
      <c r="AKI13" s="240"/>
      <c r="AKJ13" s="240"/>
      <c r="AKK13" s="240"/>
      <c r="AKL13" s="240"/>
      <c r="AKM13" s="240"/>
      <c r="AKN13" s="240"/>
      <c r="AKO13" s="240"/>
      <c r="AKP13" s="240"/>
      <c r="AKQ13" s="240"/>
      <c r="AKR13" s="240"/>
      <c r="AKS13" s="240"/>
      <c r="AKT13" s="240"/>
      <c r="AKU13" s="240"/>
      <c r="AKV13" s="240"/>
      <c r="AKW13" s="240"/>
      <c r="AKX13" s="240"/>
      <c r="AKY13" s="240"/>
      <c r="AKZ13" s="240"/>
      <c r="ALA13" s="240"/>
      <c r="ALB13" s="240"/>
      <c r="ALC13" s="240"/>
      <c r="ALD13" s="240"/>
      <c r="ALE13" s="240"/>
      <c r="ALF13" s="240"/>
      <c r="ALG13" s="240"/>
      <c r="ALH13" s="240"/>
      <c r="ALI13" s="240"/>
      <c r="ALJ13" s="240"/>
      <c r="ALK13" s="240"/>
      <c r="ALL13" s="240"/>
      <c r="ALM13" s="240"/>
      <c r="ALN13" s="240"/>
      <c r="ALO13" s="240"/>
      <c r="ALP13" s="240"/>
      <c r="ALQ13" s="240"/>
      <c r="ALR13" s="240"/>
      <c r="ALS13" s="240"/>
      <c r="ALT13" s="240"/>
      <c r="ALU13" s="240"/>
      <c r="ALV13" s="240"/>
      <c r="ALW13" s="240"/>
      <c r="ALX13" s="240"/>
      <c r="ALY13" s="240"/>
      <c r="ALZ13" s="240"/>
      <c r="AMA13" s="240"/>
      <c r="AMB13" s="240"/>
      <c r="AMC13" s="240"/>
      <c r="AMD13" s="240"/>
      <c r="AME13" s="240"/>
      <c r="AMF13" s="240"/>
      <c r="AMG13" s="240"/>
      <c r="AMH13" s="240"/>
      <c r="AMI13" s="240"/>
      <c r="AMJ13" s="240"/>
      <c r="AMK13" s="241"/>
      <c r="AML13" s="239" t="s">
        <v>96</v>
      </c>
      <c r="AMM13" s="240"/>
      <c r="AMN13" s="240"/>
      <c r="AMO13" s="240"/>
      <c r="AMP13" s="240"/>
      <c r="AMQ13" s="240"/>
      <c r="AMR13" s="240"/>
      <c r="AMS13" s="240"/>
      <c r="AMT13" s="240"/>
      <c r="AMU13" s="240"/>
      <c r="AMV13" s="240"/>
      <c r="AMW13" s="240"/>
      <c r="AMX13" s="240"/>
      <c r="AMY13" s="240"/>
      <c r="AMZ13" s="240"/>
      <c r="ANA13" s="240"/>
      <c r="ANB13" s="240"/>
      <c r="ANC13" s="240"/>
      <c r="AND13" s="240"/>
      <c r="ANE13" s="240"/>
      <c r="ANF13" s="240"/>
      <c r="ANG13" s="240"/>
      <c r="ANH13" s="240"/>
      <c r="ANI13" s="240"/>
      <c r="ANJ13" s="240"/>
      <c r="ANK13" s="240"/>
      <c r="ANL13" s="240"/>
      <c r="ANM13" s="240"/>
      <c r="ANN13" s="240"/>
      <c r="ANO13" s="240"/>
      <c r="ANP13" s="240"/>
      <c r="ANQ13" s="240"/>
      <c r="ANR13" s="240"/>
      <c r="ANS13" s="240"/>
      <c r="ANT13" s="240"/>
      <c r="ANU13" s="240"/>
      <c r="ANV13" s="240"/>
      <c r="ANW13" s="240"/>
      <c r="ANX13" s="240"/>
      <c r="ANY13" s="240"/>
      <c r="ANZ13" s="240"/>
      <c r="AOA13" s="240"/>
      <c r="AOB13" s="240"/>
      <c r="AOC13" s="240"/>
      <c r="AOD13" s="240"/>
      <c r="AOE13" s="240"/>
      <c r="AOF13" s="240"/>
      <c r="AOG13" s="240"/>
      <c r="AOH13" s="240"/>
      <c r="AOI13" s="240"/>
      <c r="AOJ13" s="240"/>
      <c r="AOK13" s="240"/>
      <c r="AOL13" s="240"/>
      <c r="AOM13" s="240"/>
      <c r="AON13" s="240"/>
      <c r="AOO13" s="240"/>
      <c r="AOP13" s="240"/>
      <c r="AOQ13" s="240"/>
      <c r="AOR13" s="240"/>
      <c r="AOS13" s="241"/>
      <c r="AOT13" s="239" t="s">
        <v>95</v>
      </c>
      <c r="AOU13" s="240"/>
      <c r="AOV13" s="240"/>
      <c r="AOW13" s="240"/>
      <c r="AOX13" s="240"/>
      <c r="AOY13" s="240"/>
      <c r="AOZ13" s="240"/>
      <c r="APA13" s="240"/>
      <c r="APB13" s="240"/>
      <c r="APC13" s="240"/>
      <c r="APD13" s="240"/>
      <c r="APE13" s="240"/>
      <c r="APF13" s="240"/>
      <c r="APG13" s="240"/>
      <c r="APH13" s="240"/>
      <c r="API13" s="240"/>
      <c r="APJ13" s="240"/>
      <c r="APK13" s="240"/>
      <c r="APL13" s="240"/>
      <c r="APM13" s="240"/>
      <c r="APN13" s="240"/>
      <c r="APO13" s="240"/>
      <c r="APP13" s="240"/>
      <c r="APQ13" s="240"/>
      <c r="APR13" s="240"/>
      <c r="APS13" s="240"/>
      <c r="APT13" s="240"/>
      <c r="APU13" s="240"/>
      <c r="APV13" s="240"/>
      <c r="APW13" s="240"/>
      <c r="APX13" s="240"/>
      <c r="APY13" s="240"/>
      <c r="APZ13" s="240"/>
      <c r="AQA13" s="240"/>
      <c r="AQB13" s="240"/>
      <c r="AQC13" s="240"/>
      <c r="AQD13" s="240"/>
      <c r="AQE13" s="240"/>
      <c r="AQF13" s="240"/>
      <c r="AQG13" s="240"/>
      <c r="AQH13" s="240"/>
      <c r="AQI13" s="240"/>
      <c r="AQJ13" s="240"/>
      <c r="AQK13" s="240"/>
      <c r="AQL13" s="240"/>
      <c r="AQM13" s="240"/>
      <c r="AQN13" s="240"/>
      <c r="AQO13" s="240"/>
      <c r="AQP13" s="240"/>
      <c r="AQQ13" s="240"/>
      <c r="AQR13" s="240"/>
      <c r="AQS13" s="240"/>
      <c r="AQT13" s="240"/>
      <c r="AQU13" s="240"/>
      <c r="AQV13" s="240"/>
      <c r="AQW13" s="240"/>
      <c r="AQX13" s="240"/>
      <c r="AQY13" s="240"/>
      <c r="AQZ13" s="240"/>
      <c r="ARA13" s="241"/>
      <c r="ARB13" s="239" t="s">
        <v>93</v>
      </c>
      <c r="ARC13" s="240"/>
      <c r="ARD13" s="240"/>
      <c r="ARE13" s="240"/>
      <c r="ARF13" s="240"/>
      <c r="ARG13" s="240"/>
      <c r="ARH13" s="240"/>
      <c r="ARI13" s="240"/>
      <c r="ARJ13" s="240"/>
      <c r="ARK13" s="240"/>
      <c r="ARL13" s="240"/>
      <c r="ARM13" s="240"/>
      <c r="ARN13" s="240"/>
      <c r="ARO13" s="240"/>
      <c r="ARP13" s="240"/>
      <c r="ARQ13" s="240"/>
      <c r="ARR13" s="240"/>
      <c r="ARS13" s="240"/>
      <c r="ART13" s="240"/>
      <c r="ARU13" s="240"/>
      <c r="ARV13" s="240"/>
      <c r="ARW13" s="240"/>
      <c r="ARX13" s="240"/>
      <c r="ARY13" s="240"/>
      <c r="ARZ13" s="240"/>
      <c r="ASA13" s="240"/>
      <c r="ASB13" s="240"/>
      <c r="ASC13" s="240"/>
      <c r="ASD13" s="240"/>
      <c r="ASE13" s="240"/>
      <c r="ASF13" s="240"/>
      <c r="ASG13" s="240"/>
      <c r="ASH13" s="240"/>
      <c r="ASI13" s="240"/>
      <c r="ASJ13" s="240"/>
      <c r="ASK13" s="240"/>
      <c r="ASL13" s="240"/>
      <c r="ASM13" s="240"/>
      <c r="ASN13" s="240"/>
      <c r="ASO13" s="240"/>
      <c r="ASP13" s="240"/>
      <c r="ASQ13" s="240"/>
      <c r="ASR13" s="240"/>
      <c r="ASS13" s="240"/>
      <c r="AST13" s="240"/>
      <c r="ASU13" s="240"/>
      <c r="ASV13" s="240"/>
      <c r="ASW13" s="240"/>
      <c r="ASX13" s="240"/>
      <c r="ASY13" s="240"/>
      <c r="ASZ13" s="240"/>
      <c r="ATA13" s="240"/>
      <c r="ATB13" s="240"/>
      <c r="ATC13" s="240"/>
      <c r="ATD13" s="240"/>
      <c r="ATE13" s="240"/>
      <c r="ATF13" s="240"/>
      <c r="ATG13" s="240"/>
      <c r="ATH13" s="240"/>
      <c r="ATI13" s="241"/>
      <c r="ATJ13" s="239" t="s">
        <v>106</v>
      </c>
      <c r="ATK13" s="240"/>
      <c r="ATL13" s="240"/>
      <c r="ATM13" s="240"/>
      <c r="ATN13" s="240"/>
      <c r="ATO13" s="240"/>
      <c r="ATP13" s="240"/>
      <c r="ATQ13" s="240"/>
      <c r="ATR13" s="240"/>
      <c r="ATS13" s="240"/>
      <c r="ATT13" s="240"/>
      <c r="ATU13" s="240"/>
      <c r="ATV13" s="240"/>
      <c r="ATW13" s="240"/>
      <c r="ATX13" s="240"/>
      <c r="ATY13" s="240"/>
      <c r="ATZ13" s="240"/>
      <c r="AUA13" s="240"/>
      <c r="AUB13" s="240"/>
      <c r="AUC13" s="240"/>
      <c r="AUD13" s="240"/>
      <c r="AUE13" s="240"/>
      <c r="AUF13" s="240"/>
      <c r="AUG13" s="240"/>
      <c r="AUH13" s="240"/>
      <c r="AUI13" s="240"/>
      <c r="AUJ13" s="240"/>
      <c r="AUK13" s="240"/>
      <c r="AUL13" s="240"/>
      <c r="AUM13" s="240"/>
      <c r="AUN13" s="240"/>
      <c r="AUO13" s="240"/>
      <c r="AUP13" s="240"/>
      <c r="AUQ13" s="240"/>
      <c r="AUR13" s="240"/>
      <c r="AUS13" s="240"/>
      <c r="AUT13" s="240"/>
      <c r="AUU13" s="240"/>
      <c r="AUV13" s="240"/>
      <c r="AUW13" s="240"/>
      <c r="AUX13" s="240"/>
      <c r="AUY13" s="240"/>
      <c r="AUZ13" s="240"/>
      <c r="AVA13" s="240"/>
      <c r="AVB13" s="240"/>
      <c r="AVC13" s="240"/>
      <c r="AVD13" s="240"/>
      <c r="AVE13" s="240"/>
      <c r="AVF13" s="240"/>
      <c r="AVG13" s="240"/>
      <c r="AVH13" s="240"/>
      <c r="AVI13" s="240"/>
      <c r="AVJ13" s="240"/>
      <c r="AVK13" s="240"/>
      <c r="AVL13" s="240"/>
      <c r="AVM13" s="240"/>
      <c r="AVN13" s="240"/>
      <c r="AVO13" s="240"/>
      <c r="AVP13" s="240"/>
      <c r="AVQ13" s="241"/>
      <c r="AVR13" s="239" t="s">
        <v>104</v>
      </c>
      <c r="AVS13" s="240"/>
      <c r="AVT13" s="240"/>
      <c r="AVU13" s="240"/>
      <c r="AVV13" s="240"/>
      <c r="AVW13" s="240"/>
      <c r="AVX13" s="240"/>
      <c r="AVY13" s="240"/>
      <c r="AVZ13" s="240"/>
      <c r="AWA13" s="240"/>
      <c r="AWB13" s="240"/>
      <c r="AWC13" s="240"/>
      <c r="AWD13" s="240"/>
      <c r="AWE13" s="240"/>
      <c r="AWF13" s="240"/>
      <c r="AWG13" s="240"/>
      <c r="AWH13" s="240"/>
      <c r="AWI13" s="240"/>
      <c r="AWJ13" s="240"/>
      <c r="AWK13" s="240"/>
      <c r="AWL13" s="240"/>
      <c r="AWM13" s="240"/>
      <c r="AWN13" s="240"/>
      <c r="AWO13" s="240"/>
      <c r="AWP13" s="240"/>
      <c r="AWQ13" s="240"/>
      <c r="AWR13" s="240"/>
      <c r="AWS13" s="240"/>
      <c r="AWT13" s="240"/>
      <c r="AWU13" s="240"/>
      <c r="AWV13" s="240"/>
      <c r="AWW13" s="240"/>
      <c r="AWX13" s="240"/>
      <c r="AWY13" s="240"/>
      <c r="AWZ13" s="240"/>
      <c r="AXA13" s="240"/>
      <c r="AXB13" s="240"/>
      <c r="AXC13" s="240"/>
      <c r="AXD13" s="240"/>
      <c r="AXE13" s="240"/>
      <c r="AXF13" s="240"/>
      <c r="AXG13" s="240"/>
      <c r="AXH13" s="240"/>
      <c r="AXI13" s="240"/>
      <c r="AXJ13" s="240"/>
      <c r="AXK13" s="240"/>
      <c r="AXL13" s="240"/>
      <c r="AXM13" s="240"/>
      <c r="AXN13" s="240"/>
      <c r="AXO13" s="240"/>
      <c r="AXP13" s="240"/>
      <c r="AXQ13" s="240"/>
      <c r="AXR13" s="240"/>
      <c r="AXS13" s="240"/>
      <c r="AXT13" s="240"/>
      <c r="AXU13" s="240"/>
      <c r="AXV13" s="240"/>
      <c r="AXW13" s="240"/>
      <c r="AXX13" s="240"/>
      <c r="AXY13" s="241"/>
      <c r="AXZ13" s="239" t="s">
        <v>103</v>
      </c>
      <c r="AYA13" s="240"/>
      <c r="AYB13" s="240"/>
      <c r="AYC13" s="240"/>
      <c r="AYD13" s="240"/>
      <c r="AYE13" s="240"/>
      <c r="AYF13" s="240"/>
      <c r="AYG13" s="240"/>
      <c r="AYH13" s="240"/>
      <c r="AYI13" s="240"/>
      <c r="AYJ13" s="240"/>
      <c r="AYK13" s="240"/>
      <c r="AYL13" s="240"/>
      <c r="AYM13" s="240"/>
      <c r="AYN13" s="240"/>
      <c r="AYO13" s="240"/>
      <c r="AYP13" s="240"/>
      <c r="AYQ13" s="240"/>
      <c r="AYR13" s="240"/>
      <c r="AYS13" s="240"/>
      <c r="AYT13" s="240"/>
      <c r="AYU13" s="240"/>
      <c r="AYV13" s="240"/>
      <c r="AYW13" s="240"/>
      <c r="AYX13" s="240"/>
      <c r="AYY13" s="240"/>
      <c r="AYZ13" s="240"/>
      <c r="AZA13" s="240"/>
      <c r="AZB13" s="240"/>
      <c r="AZC13" s="240"/>
      <c r="AZD13" s="240"/>
      <c r="AZE13" s="240"/>
      <c r="AZF13" s="240"/>
      <c r="AZG13" s="240"/>
      <c r="AZH13" s="240"/>
      <c r="AZI13" s="240"/>
      <c r="AZJ13" s="240"/>
      <c r="AZK13" s="240"/>
      <c r="AZL13" s="240"/>
      <c r="AZM13" s="240"/>
      <c r="AZN13" s="240"/>
      <c r="AZO13" s="240"/>
      <c r="AZP13" s="240"/>
      <c r="AZQ13" s="240"/>
      <c r="AZR13" s="240"/>
      <c r="AZS13" s="240"/>
      <c r="AZT13" s="240"/>
      <c r="AZU13" s="240"/>
      <c r="AZV13" s="240"/>
      <c r="AZW13" s="240"/>
      <c r="AZX13" s="240"/>
      <c r="AZY13" s="240"/>
      <c r="AZZ13" s="240"/>
      <c r="BAA13" s="240"/>
      <c r="BAB13" s="240"/>
      <c r="BAC13" s="240"/>
      <c r="BAD13" s="240"/>
      <c r="BAE13" s="240"/>
      <c r="BAF13" s="240"/>
      <c r="BAG13" s="241"/>
      <c r="BAH13" s="239" t="s">
        <v>101</v>
      </c>
      <c r="BAI13" s="240"/>
      <c r="BAJ13" s="240"/>
      <c r="BAK13" s="240"/>
      <c r="BAL13" s="240"/>
      <c r="BAM13" s="240"/>
      <c r="BAN13" s="240"/>
      <c r="BAO13" s="240"/>
      <c r="BAP13" s="240"/>
      <c r="BAQ13" s="240"/>
      <c r="BAR13" s="240"/>
      <c r="BAS13" s="240"/>
      <c r="BAT13" s="240"/>
      <c r="BAU13" s="240"/>
      <c r="BAV13" s="240"/>
      <c r="BAW13" s="240"/>
      <c r="BAX13" s="240"/>
      <c r="BAY13" s="240"/>
      <c r="BAZ13" s="240"/>
      <c r="BBA13" s="240"/>
      <c r="BBB13" s="240"/>
      <c r="BBC13" s="240"/>
      <c r="BBD13" s="240"/>
      <c r="BBE13" s="240"/>
      <c r="BBF13" s="240"/>
      <c r="BBG13" s="240"/>
      <c r="BBH13" s="240"/>
      <c r="BBI13" s="240"/>
      <c r="BBJ13" s="240"/>
      <c r="BBK13" s="240"/>
      <c r="BBL13" s="240"/>
      <c r="BBM13" s="240"/>
      <c r="BBN13" s="240"/>
      <c r="BBO13" s="240"/>
      <c r="BBP13" s="240"/>
      <c r="BBQ13" s="240"/>
      <c r="BBR13" s="240"/>
      <c r="BBS13" s="240"/>
      <c r="BBT13" s="240"/>
      <c r="BBU13" s="240"/>
      <c r="BBV13" s="240"/>
      <c r="BBW13" s="240"/>
      <c r="BBX13" s="240"/>
      <c r="BBY13" s="240"/>
      <c r="BBZ13" s="240"/>
      <c r="BCA13" s="240"/>
      <c r="BCB13" s="240"/>
      <c r="BCC13" s="240"/>
      <c r="BCD13" s="240"/>
      <c r="BCE13" s="240"/>
      <c r="BCF13" s="240"/>
      <c r="BCG13" s="240"/>
      <c r="BCH13" s="240"/>
      <c r="BCI13" s="240"/>
      <c r="BCJ13" s="240"/>
      <c r="BCK13" s="240"/>
      <c r="BCL13" s="240"/>
      <c r="BCM13" s="240"/>
      <c r="BCN13" s="240"/>
      <c r="BCO13" s="241"/>
      <c r="BCP13" s="239" t="s">
        <v>109</v>
      </c>
      <c r="BCQ13" s="240"/>
      <c r="BCR13" s="240"/>
      <c r="BCS13" s="240"/>
      <c r="BCT13" s="240"/>
      <c r="BCU13" s="240"/>
      <c r="BCV13" s="240"/>
      <c r="BCW13" s="240"/>
      <c r="BCX13" s="240"/>
      <c r="BCY13" s="240"/>
      <c r="BCZ13" s="240"/>
      <c r="BDA13" s="240"/>
      <c r="BDB13" s="240"/>
      <c r="BDC13" s="240"/>
      <c r="BDD13" s="240"/>
      <c r="BDE13" s="240"/>
      <c r="BDF13" s="240"/>
      <c r="BDG13" s="240"/>
      <c r="BDH13" s="240"/>
      <c r="BDI13" s="240"/>
      <c r="BDJ13" s="240"/>
      <c r="BDK13" s="240"/>
      <c r="BDL13" s="240"/>
      <c r="BDM13" s="240"/>
      <c r="BDN13" s="240"/>
      <c r="BDO13" s="240"/>
      <c r="BDP13" s="240"/>
      <c r="BDQ13" s="240"/>
      <c r="BDR13" s="240"/>
      <c r="BDS13" s="240"/>
      <c r="BDT13" s="240"/>
      <c r="BDU13" s="240"/>
      <c r="BDV13" s="240"/>
      <c r="BDW13" s="240"/>
      <c r="BDX13" s="240"/>
      <c r="BDY13" s="240"/>
      <c r="BDZ13" s="240"/>
      <c r="BEA13" s="240"/>
      <c r="BEB13" s="240"/>
      <c r="BEC13" s="240"/>
      <c r="BED13" s="240"/>
      <c r="BEE13" s="240"/>
      <c r="BEF13" s="240"/>
      <c r="BEG13" s="240"/>
      <c r="BEH13" s="240"/>
      <c r="BEI13" s="240"/>
      <c r="BEJ13" s="240"/>
      <c r="BEK13" s="240"/>
      <c r="BEL13" s="240"/>
      <c r="BEM13" s="240"/>
      <c r="BEN13" s="240"/>
      <c r="BEO13" s="240"/>
      <c r="BEP13" s="240"/>
      <c r="BEQ13" s="240"/>
      <c r="BER13" s="240"/>
      <c r="BES13" s="240"/>
      <c r="BET13" s="240"/>
      <c r="BEU13" s="240"/>
      <c r="BEV13" s="240"/>
      <c r="BEW13" s="241"/>
      <c r="BEX13" s="239" t="s">
        <v>107</v>
      </c>
      <c r="BEY13" s="240"/>
      <c r="BEZ13" s="240"/>
      <c r="BFA13" s="240"/>
      <c r="BFB13" s="240"/>
      <c r="BFC13" s="240"/>
      <c r="BFD13" s="240"/>
      <c r="BFE13" s="240"/>
      <c r="BFF13" s="240"/>
      <c r="BFG13" s="240"/>
      <c r="BFH13" s="240"/>
      <c r="BFI13" s="240"/>
      <c r="BFJ13" s="240"/>
      <c r="BFK13" s="240"/>
      <c r="BFL13" s="240"/>
      <c r="BFM13" s="240"/>
      <c r="BFN13" s="240"/>
      <c r="BFO13" s="240"/>
      <c r="BFP13" s="240"/>
      <c r="BFQ13" s="240"/>
      <c r="BFR13" s="240"/>
      <c r="BFS13" s="240"/>
      <c r="BFT13" s="240"/>
      <c r="BFU13" s="240"/>
      <c r="BFV13" s="240"/>
      <c r="BFW13" s="240"/>
      <c r="BFX13" s="240"/>
      <c r="BFY13" s="240"/>
      <c r="BFZ13" s="240"/>
      <c r="BGA13" s="240"/>
      <c r="BGB13" s="240"/>
      <c r="BGC13" s="240"/>
      <c r="BGD13" s="240"/>
      <c r="BGE13" s="240"/>
      <c r="BGF13" s="240"/>
      <c r="BGG13" s="240"/>
      <c r="BGH13" s="240"/>
      <c r="BGI13" s="240"/>
      <c r="BGJ13" s="240"/>
      <c r="BGK13" s="240"/>
      <c r="BGL13" s="240"/>
      <c r="BGM13" s="240"/>
      <c r="BGN13" s="240"/>
      <c r="BGO13" s="240"/>
      <c r="BGP13" s="240"/>
      <c r="BGQ13" s="240"/>
      <c r="BGR13" s="240"/>
      <c r="BGS13" s="240"/>
      <c r="BGT13" s="240"/>
      <c r="BGU13" s="240"/>
      <c r="BGV13" s="240"/>
      <c r="BGW13" s="240"/>
      <c r="BGX13" s="240"/>
      <c r="BGY13" s="240"/>
      <c r="BGZ13" s="240"/>
      <c r="BHA13" s="240"/>
      <c r="BHB13" s="240"/>
      <c r="BHC13" s="240"/>
      <c r="BHD13" s="240"/>
      <c r="BHE13" s="241"/>
      <c r="BHF13" s="90"/>
    </row>
    <row r="14" spans="1:1566" ht="12.75" customHeight="1" thickBot="1" x14ac:dyDescent="0.35">
      <c r="B14" s="96"/>
      <c r="C14" s="262"/>
      <c r="D14" s="145"/>
      <c r="E14" s="264"/>
      <c r="F14" s="103"/>
      <c r="G14" s="104"/>
      <c r="H14" s="104"/>
      <c r="I14" s="104"/>
      <c r="J14" s="242" t="s">
        <v>31</v>
      </c>
      <c r="K14" s="242"/>
      <c r="L14" s="242"/>
      <c r="M14" s="242"/>
      <c r="N14" s="104"/>
      <c r="O14" s="104"/>
      <c r="P14" s="252" t="s">
        <v>21</v>
      </c>
      <c r="Q14" s="252"/>
      <c r="R14" s="252"/>
      <c r="S14" s="252"/>
      <c r="T14" s="129"/>
      <c r="U14" s="129"/>
      <c r="V14" s="242" t="s">
        <v>32</v>
      </c>
      <c r="W14" s="242"/>
      <c r="X14" s="242"/>
      <c r="Y14" s="242"/>
      <c r="Z14" s="104"/>
      <c r="AA14" s="104"/>
      <c r="AB14" s="252" t="s">
        <v>22</v>
      </c>
      <c r="AC14" s="252"/>
      <c r="AD14" s="252"/>
      <c r="AE14" s="252"/>
      <c r="AF14" s="129"/>
      <c r="AG14" s="129"/>
      <c r="AH14" s="242" t="s">
        <v>33</v>
      </c>
      <c r="AI14" s="242"/>
      <c r="AJ14" s="242"/>
      <c r="AK14" s="242"/>
      <c r="AL14" s="104"/>
      <c r="AM14" s="104"/>
      <c r="AN14" s="252" t="s">
        <v>23</v>
      </c>
      <c r="AO14" s="252"/>
      <c r="AP14" s="252"/>
      <c r="AQ14" s="252"/>
      <c r="AR14" s="129"/>
      <c r="AS14" s="129"/>
      <c r="AT14" s="242" t="s">
        <v>34</v>
      </c>
      <c r="AU14" s="242"/>
      <c r="AV14" s="242"/>
      <c r="AW14" s="242"/>
      <c r="AX14" s="104"/>
      <c r="AY14" s="104"/>
      <c r="AZ14" s="252" t="s">
        <v>24</v>
      </c>
      <c r="BA14" s="252"/>
      <c r="BB14" s="252"/>
      <c r="BC14" s="252"/>
      <c r="BD14" s="129"/>
      <c r="BE14" s="129"/>
      <c r="BF14" s="242" t="s">
        <v>35</v>
      </c>
      <c r="BG14" s="242"/>
      <c r="BH14" s="242"/>
      <c r="BI14" s="242"/>
      <c r="BJ14" s="104"/>
      <c r="BK14" s="104"/>
      <c r="BL14" s="104"/>
      <c r="BM14" s="105"/>
      <c r="BN14" s="103"/>
      <c r="BO14" s="104"/>
      <c r="BP14" s="104"/>
      <c r="BQ14" s="104"/>
      <c r="BR14" s="242" t="s">
        <v>31</v>
      </c>
      <c r="BS14" s="242"/>
      <c r="BT14" s="242"/>
      <c r="BU14" s="242"/>
      <c r="BV14" s="104"/>
      <c r="BW14" s="104"/>
      <c r="BX14" s="252" t="s">
        <v>21</v>
      </c>
      <c r="BY14" s="252"/>
      <c r="BZ14" s="252"/>
      <c r="CA14" s="252"/>
      <c r="CB14" s="129"/>
      <c r="CC14" s="129"/>
      <c r="CD14" s="242" t="s">
        <v>32</v>
      </c>
      <c r="CE14" s="242"/>
      <c r="CF14" s="242"/>
      <c r="CG14" s="242"/>
      <c r="CH14" s="104"/>
      <c r="CI14" s="104"/>
      <c r="CJ14" s="252" t="s">
        <v>22</v>
      </c>
      <c r="CK14" s="252"/>
      <c r="CL14" s="252"/>
      <c r="CM14" s="252"/>
      <c r="CN14" s="129"/>
      <c r="CO14" s="129"/>
      <c r="CP14" s="242" t="s">
        <v>33</v>
      </c>
      <c r="CQ14" s="242"/>
      <c r="CR14" s="242"/>
      <c r="CS14" s="242"/>
      <c r="CT14" s="104"/>
      <c r="CU14" s="104"/>
      <c r="CV14" s="252" t="s">
        <v>23</v>
      </c>
      <c r="CW14" s="252"/>
      <c r="CX14" s="252"/>
      <c r="CY14" s="252"/>
      <c r="CZ14" s="129"/>
      <c r="DA14" s="129"/>
      <c r="DB14" s="242" t="s">
        <v>34</v>
      </c>
      <c r="DC14" s="242"/>
      <c r="DD14" s="242"/>
      <c r="DE14" s="242"/>
      <c r="DF14" s="104"/>
      <c r="DG14" s="104"/>
      <c r="DH14" s="252" t="s">
        <v>24</v>
      </c>
      <c r="DI14" s="252"/>
      <c r="DJ14" s="252"/>
      <c r="DK14" s="252"/>
      <c r="DL14" s="129"/>
      <c r="DM14" s="129"/>
      <c r="DN14" s="242" t="s">
        <v>35</v>
      </c>
      <c r="DO14" s="242"/>
      <c r="DP14" s="242"/>
      <c r="DQ14" s="242"/>
      <c r="DR14" s="104"/>
      <c r="DS14" s="104"/>
      <c r="DT14" s="104"/>
      <c r="DU14" s="105"/>
      <c r="DV14" s="103"/>
      <c r="DW14" s="104"/>
      <c r="DX14" s="104"/>
      <c r="DY14" s="104"/>
      <c r="DZ14" s="242" t="s">
        <v>31</v>
      </c>
      <c r="EA14" s="242"/>
      <c r="EB14" s="242"/>
      <c r="EC14" s="242"/>
      <c r="ED14" s="104"/>
      <c r="EE14" s="104"/>
      <c r="EF14" s="252" t="s">
        <v>21</v>
      </c>
      <c r="EG14" s="252"/>
      <c r="EH14" s="252"/>
      <c r="EI14" s="252"/>
      <c r="EJ14" s="129"/>
      <c r="EK14" s="129"/>
      <c r="EL14" s="242" t="s">
        <v>32</v>
      </c>
      <c r="EM14" s="242"/>
      <c r="EN14" s="242"/>
      <c r="EO14" s="242"/>
      <c r="EP14" s="104"/>
      <c r="EQ14" s="104"/>
      <c r="ER14" s="252" t="s">
        <v>22</v>
      </c>
      <c r="ES14" s="252"/>
      <c r="ET14" s="252"/>
      <c r="EU14" s="252"/>
      <c r="EV14" s="129"/>
      <c r="EW14" s="129"/>
      <c r="EX14" s="242" t="s">
        <v>33</v>
      </c>
      <c r="EY14" s="242"/>
      <c r="EZ14" s="242"/>
      <c r="FA14" s="242"/>
      <c r="FB14" s="104"/>
      <c r="FC14" s="104"/>
      <c r="FD14" s="252" t="s">
        <v>23</v>
      </c>
      <c r="FE14" s="252"/>
      <c r="FF14" s="252"/>
      <c r="FG14" s="252"/>
      <c r="FH14" s="129"/>
      <c r="FI14" s="129"/>
      <c r="FJ14" s="242" t="s">
        <v>34</v>
      </c>
      <c r="FK14" s="242"/>
      <c r="FL14" s="242"/>
      <c r="FM14" s="242"/>
      <c r="FN14" s="104"/>
      <c r="FO14" s="104"/>
      <c r="FP14" s="252" t="s">
        <v>24</v>
      </c>
      <c r="FQ14" s="252"/>
      <c r="FR14" s="252"/>
      <c r="FS14" s="252"/>
      <c r="FT14" s="129"/>
      <c r="FU14" s="129"/>
      <c r="FV14" s="242" t="s">
        <v>35</v>
      </c>
      <c r="FW14" s="242"/>
      <c r="FX14" s="242"/>
      <c r="FY14" s="242"/>
      <c r="FZ14" s="104"/>
      <c r="GA14" s="104"/>
      <c r="GB14" s="104"/>
      <c r="GC14" s="105"/>
      <c r="GD14" s="103"/>
      <c r="GE14" s="104"/>
      <c r="GF14" s="104"/>
      <c r="GG14" s="104"/>
      <c r="GH14" s="242" t="s">
        <v>31</v>
      </c>
      <c r="GI14" s="242"/>
      <c r="GJ14" s="242"/>
      <c r="GK14" s="242"/>
      <c r="GL14" s="104"/>
      <c r="GM14" s="104"/>
      <c r="GN14" s="252" t="s">
        <v>21</v>
      </c>
      <c r="GO14" s="252"/>
      <c r="GP14" s="252"/>
      <c r="GQ14" s="252"/>
      <c r="GR14" s="129"/>
      <c r="GS14" s="129"/>
      <c r="GT14" s="242" t="s">
        <v>32</v>
      </c>
      <c r="GU14" s="242"/>
      <c r="GV14" s="242"/>
      <c r="GW14" s="242"/>
      <c r="GX14" s="104"/>
      <c r="GY14" s="104"/>
      <c r="GZ14" s="252" t="s">
        <v>22</v>
      </c>
      <c r="HA14" s="252"/>
      <c r="HB14" s="252"/>
      <c r="HC14" s="252"/>
      <c r="HD14" s="129"/>
      <c r="HE14" s="129"/>
      <c r="HF14" s="242" t="s">
        <v>33</v>
      </c>
      <c r="HG14" s="242"/>
      <c r="HH14" s="242"/>
      <c r="HI14" s="242"/>
      <c r="HJ14" s="104"/>
      <c r="HK14" s="104"/>
      <c r="HL14" s="252" t="s">
        <v>23</v>
      </c>
      <c r="HM14" s="252"/>
      <c r="HN14" s="252"/>
      <c r="HO14" s="252"/>
      <c r="HP14" s="129"/>
      <c r="HQ14" s="129"/>
      <c r="HR14" s="242" t="s">
        <v>34</v>
      </c>
      <c r="HS14" s="242"/>
      <c r="HT14" s="242"/>
      <c r="HU14" s="242"/>
      <c r="HV14" s="104"/>
      <c r="HW14" s="104"/>
      <c r="HX14" s="252" t="s">
        <v>24</v>
      </c>
      <c r="HY14" s="252"/>
      <c r="HZ14" s="252"/>
      <c r="IA14" s="252"/>
      <c r="IB14" s="129"/>
      <c r="IC14" s="129"/>
      <c r="ID14" s="242" t="s">
        <v>35</v>
      </c>
      <c r="IE14" s="242"/>
      <c r="IF14" s="242"/>
      <c r="IG14" s="242"/>
      <c r="IH14" s="104"/>
      <c r="II14" s="104"/>
      <c r="IJ14" s="104"/>
      <c r="IK14" s="105"/>
      <c r="IL14" s="103"/>
      <c r="IM14" s="104"/>
      <c r="IN14" s="104"/>
      <c r="IO14" s="104"/>
      <c r="IP14" s="242" t="s">
        <v>31</v>
      </c>
      <c r="IQ14" s="242"/>
      <c r="IR14" s="242"/>
      <c r="IS14" s="242"/>
      <c r="IT14" s="104"/>
      <c r="IU14" s="104"/>
      <c r="IV14" s="252" t="s">
        <v>21</v>
      </c>
      <c r="IW14" s="252"/>
      <c r="IX14" s="252"/>
      <c r="IY14" s="252"/>
      <c r="IZ14" s="129"/>
      <c r="JA14" s="129"/>
      <c r="JB14" s="242" t="s">
        <v>32</v>
      </c>
      <c r="JC14" s="242"/>
      <c r="JD14" s="242"/>
      <c r="JE14" s="242"/>
      <c r="JF14" s="104"/>
      <c r="JG14" s="104"/>
      <c r="JH14" s="252" t="s">
        <v>22</v>
      </c>
      <c r="JI14" s="252"/>
      <c r="JJ14" s="252"/>
      <c r="JK14" s="252"/>
      <c r="JL14" s="129"/>
      <c r="JM14" s="129"/>
      <c r="JN14" s="242" t="s">
        <v>33</v>
      </c>
      <c r="JO14" s="242"/>
      <c r="JP14" s="242"/>
      <c r="JQ14" s="242"/>
      <c r="JR14" s="104"/>
      <c r="JS14" s="104"/>
      <c r="JT14" s="252" t="s">
        <v>23</v>
      </c>
      <c r="JU14" s="252"/>
      <c r="JV14" s="252"/>
      <c r="JW14" s="252"/>
      <c r="JX14" s="129"/>
      <c r="JY14" s="129"/>
      <c r="JZ14" s="242" t="s">
        <v>34</v>
      </c>
      <c r="KA14" s="242"/>
      <c r="KB14" s="242"/>
      <c r="KC14" s="242"/>
      <c r="KD14" s="104"/>
      <c r="KE14" s="104"/>
      <c r="KF14" s="252" t="s">
        <v>24</v>
      </c>
      <c r="KG14" s="252"/>
      <c r="KH14" s="252"/>
      <c r="KI14" s="252"/>
      <c r="KJ14" s="129"/>
      <c r="KK14" s="129"/>
      <c r="KL14" s="242" t="s">
        <v>35</v>
      </c>
      <c r="KM14" s="242"/>
      <c r="KN14" s="242"/>
      <c r="KO14" s="242"/>
      <c r="KP14" s="104"/>
      <c r="KQ14" s="104"/>
      <c r="KR14" s="104"/>
      <c r="KS14" s="105"/>
      <c r="KT14" s="103"/>
      <c r="KU14" s="104"/>
      <c r="KV14" s="104"/>
      <c r="KW14" s="104"/>
      <c r="KX14" s="242" t="s">
        <v>31</v>
      </c>
      <c r="KY14" s="242"/>
      <c r="KZ14" s="242"/>
      <c r="LA14" s="242"/>
      <c r="LB14" s="104"/>
      <c r="LC14" s="104"/>
      <c r="LD14" s="252" t="s">
        <v>21</v>
      </c>
      <c r="LE14" s="252"/>
      <c r="LF14" s="252"/>
      <c r="LG14" s="252"/>
      <c r="LH14" s="129"/>
      <c r="LI14" s="129"/>
      <c r="LJ14" s="242" t="s">
        <v>32</v>
      </c>
      <c r="LK14" s="242"/>
      <c r="LL14" s="242"/>
      <c r="LM14" s="242"/>
      <c r="LN14" s="104"/>
      <c r="LO14" s="104"/>
      <c r="LP14" s="252" t="s">
        <v>22</v>
      </c>
      <c r="LQ14" s="252"/>
      <c r="LR14" s="252"/>
      <c r="LS14" s="252"/>
      <c r="LT14" s="129"/>
      <c r="LU14" s="129"/>
      <c r="LV14" s="242" t="s">
        <v>33</v>
      </c>
      <c r="LW14" s="242"/>
      <c r="LX14" s="242"/>
      <c r="LY14" s="242"/>
      <c r="LZ14" s="104"/>
      <c r="MA14" s="104"/>
      <c r="MB14" s="252" t="s">
        <v>23</v>
      </c>
      <c r="MC14" s="252"/>
      <c r="MD14" s="252"/>
      <c r="ME14" s="252"/>
      <c r="MF14" s="129"/>
      <c r="MG14" s="129"/>
      <c r="MH14" s="242" t="s">
        <v>34</v>
      </c>
      <c r="MI14" s="242"/>
      <c r="MJ14" s="242"/>
      <c r="MK14" s="242"/>
      <c r="ML14" s="104"/>
      <c r="MM14" s="104"/>
      <c r="MN14" s="252" t="s">
        <v>24</v>
      </c>
      <c r="MO14" s="252"/>
      <c r="MP14" s="252"/>
      <c r="MQ14" s="252"/>
      <c r="MR14" s="129"/>
      <c r="MS14" s="129"/>
      <c r="MT14" s="242" t="s">
        <v>35</v>
      </c>
      <c r="MU14" s="242"/>
      <c r="MV14" s="242"/>
      <c r="MW14" s="242"/>
      <c r="MX14" s="104"/>
      <c r="MY14" s="104"/>
      <c r="MZ14" s="104"/>
      <c r="NA14" s="105"/>
      <c r="NB14" s="103"/>
      <c r="NC14" s="104"/>
      <c r="ND14" s="104"/>
      <c r="NE14" s="104"/>
      <c r="NF14" s="242" t="s">
        <v>31</v>
      </c>
      <c r="NG14" s="242"/>
      <c r="NH14" s="242"/>
      <c r="NI14" s="242"/>
      <c r="NJ14" s="104"/>
      <c r="NK14" s="104"/>
      <c r="NL14" s="252" t="s">
        <v>21</v>
      </c>
      <c r="NM14" s="252"/>
      <c r="NN14" s="252"/>
      <c r="NO14" s="252"/>
      <c r="NP14" s="129"/>
      <c r="NQ14" s="129"/>
      <c r="NR14" s="242" t="s">
        <v>32</v>
      </c>
      <c r="NS14" s="242"/>
      <c r="NT14" s="242"/>
      <c r="NU14" s="242"/>
      <c r="NV14" s="104"/>
      <c r="NW14" s="104"/>
      <c r="NX14" s="252" t="s">
        <v>22</v>
      </c>
      <c r="NY14" s="252"/>
      <c r="NZ14" s="252"/>
      <c r="OA14" s="252"/>
      <c r="OB14" s="129"/>
      <c r="OC14" s="129"/>
      <c r="OD14" s="242" t="s">
        <v>33</v>
      </c>
      <c r="OE14" s="242"/>
      <c r="OF14" s="242"/>
      <c r="OG14" s="242"/>
      <c r="OH14" s="104"/>
      <c r="OI14" s="104"/>
      <c r="OJ14" s="252" t="s">
        <v>23</v>
      </c>
      <c r="OK14" s="252"/>
      <c r="OL14" s="252"/>
      <c r="OM14" s="252"/>
      <c r="ON14" s="129"/>
      <c r="OO14" s="129"/>
      <c r="OP14" s="242" t="s">
        <v>34</v>
      </c>
      <c r="OQ14" s="242"/>
      <c r="OR14" s="242"/>
      <c r="OS14" s="242"/>
      <c r="OT14" s="104"/>
      <c r="OU14" s="104"/>
      <c r="OV14" s="252" t="s">
        <v>24</v>
      </c>
      <c r="OW14" s="252"/>
      <c r="OX14" s="252"/>
      <c r="OY14" s="252"/>
      <c r="OZ14" s="129"/>
      <c r="PA14" s="129"/>
      <c r="PB14" s="242" t="s">
        <v>35</v>
      </c>
      <c r="PC14" s="242"/>
      <c r="PD14" s="242"/>
      <c r="PE14" s="242"/>
      <c r="PF14" s="104"/>
      <c r="PG14" s="104"/>
      <c r="PH14" s="104"/>
      <c r="PI14" s="105"/>
      <c r="PJ14" s="103"/>
      <c r="PK14" s="104"/>
      <c r="PL14" s="104"/>
      <c r="PM14" s="104"/>
      <c r="PN14" s="242" t="s">
        <v>31</v>
      </c>
      <c r="PO14" s="242"/>
      <c r="PP14" s="242"/>
      <c r="PQ14" s="242"/>
      <c r="PR14" s="104"/>
      <c r="PS14" s="104"/>
      <c r="PT14" s="252" t="s">
        <v>21</v>
      </c>
      <c r="PU14" s="252"/>
      <c r="PV14" s="252"/>
      <c r="PW14" s="252"/>
      <c r="PX14" s="129"/>
      <c r="PY14" s="129"/>
      <c r="PZ14" s="242" t="s">
        <v>32</v>
      </c>
      <c r="QA14" s="242"/>
      <c r="QB14" s="242"/>
      <c r="QC14" s="242"/>
      <c r="QD14" s="104"/>
      <c r="QE14" s="104"/>
      <c r="QF14" s="252" t="s">
        <v>22</v>
      </c>
      <c r="QG14" s="252"/>
      <c r="QH14" s="252"/>
      <c r="QI14" s="252"/>
      <c r="QJ14" s="129"/>
      <c r="QK14" s="129"/>
      <c r="QL14" s="242" t="s">
        <v>33</v>
      </c>
      <c r="QM14" s="242"/>
      <c r="QN14" s="242"/>
      <c r="QO14" s="242"/>
      <c r="QP14" s="104"/>
      <c r="QQ14" s="104"/>
      <c r="QR14" s="252" t="s">
        <v>23</v>
      </c>
      <c r="QS14" s="252"/>
      <c r="QT14" s="252"/>
      <c r="QU14" s="252"/>
      <c r="QV14" s="129"/>
      <c r="QW14" s="129"/>
      <c r="QX14" s="242" t="s">
        <v>34</v>
      </c>
      <c r="QY14" s="242"/>
      <c r="QZ14" s="242"/>
      <c r="RA14" s="242"/>
      <c r="RB14" s="104"/>
      <c r="RC14" s="104"/>
      <c r="RD14" s="252" t="s">
        <v>24</v>
      </c>
      <c r="RE14" s="252"/>
      <c r="RF14" s="252"/>
      <c r="RG14" s="252"/>
      <c r="RH14" s="129"/>
      <c r="RI14" s="129"/>
      <c r="RJ14" s="242" t="s">
        <v>35</v>
      </c>
      <c r="RK14" s="242"/>
      <c r="RL14" s="242"/>
      <c r="RM14" s="242"/>
      <c r="RN14" s="104"/>
      <c r="RO14" s="104"/>
      <c r="RP14" s="104"/>
      <c r="RQ14" s="105"/>
      <c r="RR14" s="103"/>
      <c r="RS14" s="104"/>
      <c r="RT14" s="104"/>
      <c r="RU14" s="104"/>
      <c r="RV14" s="242" t="s">
        <v>31</v>
      </c>
      <c r="RW14" s="242"/>
      <c r="RX14" s="242"/>
      <c r="RY14" s="242"/>
      <c r="RZ14" s="104"/>
      <c r="SA14" s="104"/>
      <c r="SB14" s="252" t="s">
        <v>21</v>
      </c>
      <c r="SC14" s="252"/>
      <c r="SD14" s="252"/>
      <c r="SE14" s="252"/>
      <c r="SF14" s="129"/>
      <c r="SG14" s="129"/>
      <c r="SH14" s="242" t="s">
        <v>32</v>
      </c>
      <c r="SI14" s="242"/>
      <c r="SJ14" s="242"/>
      <c r="SK14" s="242"/>
      <c r="SL14" s="104"/>
      <c r="SM14" s="104"/>
      <c r="SN14" s="252" t="s">
        <v>22</v>
      </c>
      <c r="SO14" s="252"/>
      <c r="SP14" s="252"/>
      <c r="SQ14" s="252"/>
      <c r="SR14" s="129"/>
      <c r="SS14" s="129"/>
      <c r="ST14" s="242" t="s">
        <v>33</v>
      </c>
      <c r="SU14" s="242"/>
      <c r="SV14" s="242"/>
      <c r="SW14" s="242"/>
      <c r="SX14" s="104"/>
      <c r="SY14" s="104"/>
      <c r="SZ14" s="252" t="s">
        <v>23</v>
      </c>
      <c r="TA14" s="252"/>
      <c r="TB14" s="252"/>
      <c r="TC14" s="252"/>
      <c r="TD14" s="129"/>
      <c r="TE14" s="129"/>
      <c r="TF14" s="242" t="s">
        <v>34</v>
      </c>
      <c r="TG14" s="242"/>
      <c r="TH14" s="242"/>
      <c r="TI14" s="242"/>
      <c r="TJ14" s="104"/>
      <c r="TK14" s="104"/>
      <c r="TL14" s="252" t="s">
        <v>24</v>
      </c>
      <c r="TM14" s="252"/>
      <c r="TN14" s="252"/>
      <c r="TO14" s="252"/>
      <c r="TP14" s="129"/>
      <c r="TQ14" s="129"/>
      <c r="TR14" s="242" t="s">
        <v>35</v>
      </c>
      <c r="TS14" s="242"/>
      <c r="TT14" s="242"/>
      <c r="TU14" s="242"/>
      <c r="TV14" s="104"/>
      <c r="TW14" s="104"/>
      <c r="TX14" s="104"/>
      <c r="TY14" s="105"/>
      <c r="TZ14" s="103"/>
      <c r="UA14" s="104"/>
      <c r="UB14" s="104"/>
      <c r="UC14" s="104"/>
      <c r="UD14" s="242" t="s">
        <v>31</v>
      </c>
      <c r="UE14" s="242"/>
      <c r="UF14" s="242"/>
      <c r="UG14" s="242"/>
      <c r="UH14" s="104"/>
      <c r="UI14" s="104"/>
      <c r="UJ14" s="252" t="s">
        <v>21</v>
      </c>
      <c r="UK14" s="252"/>
      <c r="UL14" s="252"/>
      <c r="UM14" s="252"/>
      <c r="UN14" s="129"/>
      <c r="UO14" s="129"/>
      <c r="UP14" s="242" t="s">
        <v>32</v>
      </c>
      <c r="UQ14" s="242"/>
      <c r="UR14" s="242"/>
      <c r="US14" s="242"/>
      <c r="UT14" s="104"/>
      <c r="UU14" s="104"/>
      <c r="UV14" s="252" t="s">
        <v>22</v>
      </c>
      <c r="UW14" s="252"/>
      <c r="UX14" s="252"/>
      <c r="UY14" s="252"/>
      <c r="UZ14" s="129"/>
      <c r="VA14" s="129"/>
      <c r="VB14" s="242" t="s">
        <v>33</v>
      </c>
      <c r="VC14" s="242"/>
      <c r="VD14" s="242"/>
      <c r="VE14" s="242"/>
      <c r="VF14" s="104"/>
      <c r="VG14" s="104"/>
      <c r="VH14" s="252" t="s">
        <v>23</v>
      </c>
      <c r="VI14" s="252"/>
      <c r="VJ14" s="252"/>
      <c r="VK14" s="252"/>
      <c r="VL14" s="129"/>
      <c r="VM14" s="129"/>
      <c r="VN14" s="242" t="s">
        <v>34</v>
      </c>
      <c r="VO14" s="242"/>
      <c r="VP14" s="242"/>
      <c r="VQ14" s="242"/>
      <c r="VR14" s="104"/>
      <c r="VS14" s="104"/>
      <c r="VT14" s="252" t="s">
        <v>24</v>
      </c>
      <c r="VU14" s="252"/>
      <c r="VV14" s="252"/>
      <c r="VW14" s="252"/>
      <c r="VX14" s="129"/>
      <c r="VY14" s="129"/>
      <c r="VZ14" s="242" t="s">
        <v>35</v>
      </c>
      <c r="WA14" s="242"/>
      <c r="WB14" s="242"/>
      <c r="WC14" s="242"/>
      <c r="WD14" s="104"/>
      <c r="WE14" s="104"/>
      <c r="WF14" s="104"/>
      <c r="WG14" s="105"/>
      <c r="WH14" s="103"/>
      <c r="WI14" s="104"/>
      <c r="WJ14" s="104"/>
      <c r="WK14" s="104"/>
      <c r="WL14" s="242" t="s">
        <v>31</v>
      </c>
      <c r="WM14" s="242"/>
      <c r="WN14" s="242"/>
      <c r="WO14" s="242"/>
      <c r="WP14" s="104"/>
      <c r="WQ14" s="104"/>
      <c r="WR14" s="252" t="s">
        <v>21</v>
      </c>
      <c r="WS14" s="252"/>
      <c r="WT14" s="252"/>
      <c r="WU14" s="252"/>
      <c r="WV14" s="129"/>
      <c r="WW14" s="129"/>
      <c r="WX14" s="242" t="s">
        <v>32</v>
      </c>
      <c r="WY14" s="242"/>
      <c r="WZ14" s="242"/>
      <c r="XA14" s="242"/>
      <c r="XB14" s="104"/>
      <c r="XC14" s="104"/>
      <c r="XD14" s="252" t="s">
        <v>22</v>
      </c>
      <c r="XE14" s="252"/>
      <c r="XF14" s="252"/>
      <c r="XG14" s="252"/>
      <c r="XH14" s="129"/>
      <c r="XI14" s="129"/>
      <c r="XJ14" s="242" t="s">
        <v>33</v>
      </c>
      <c r="XK14" s="242"/>
      <c r="XL14" s="242"/>
      <c r="XM14" s="242"/>
      <c r="XN14" s="104"/>
      <c r="XO14" s="104"/>
      <c r="XP14" s="252" t="s">
        <v>23</v>
      </c>
      <c r="XQ14" s="252"/>
      <c r="XR14" s="252"/>
      <c r="XS14" s="252"/>
      <c r="XT14" s="129"/>
      <c r="XU14" s="129"/>
      <c r="XV14" s="242" t="s">
        <v>34</v>
      </c>
      <c r="XW14" s="242"/>
      <c r="XX14" s="242"/>
      <c r="XY14" s="242"/>
      <c r="XZ14" s="104"/>
      <c r="YA14" s="104"/>
      <c r="YB14" s="252" t="s">
        <v>24</v>
      </c>
      <c r="YC14" s="252"/>
      <c r="YD14" s="252"/>
      <c r="YE14" s="252"/>
      <c r="YF14" s="129"/>
      <c r="YG14" s="129"/>
      <c r="YH14" s="242" t="s">
        <v>35</v>
      </c>
      <c r="YI14" s="242"/>
      <c r="YJ14" s="242"/>
      <c r="YK14" s="242"/>
      <c r="YL14" s="104"/>
      <c r="YM14" s="104"/>
      <c r="YN14" s="104"/>
      <c r="YO14" s="105"/>
      <c r="YP14" s="103"/>
      <c r="YQ14" s="104"/>
      <c r="YR14" s="104"/>
      <c r="YS14" s="104"/>
      <c r="YT14" s="242" t="s">
        <v>31</v>
      </c>
      <c r="YU14" s="242"/>
      <c r="YV14" s="242"/>
      <c r="YW14" s="242"/>
      <c r="YX14" s="104"/>
      <c r="YY14" s="104"/>
      <c r="YZ14" s="252" t="s">
        <v>21</v>
      </c>
      <c r="ZA14" s="252"/>
      <c r="ZB14" s="252"/>
      <c r="ZC14" s="252"/>
      <c r="ZD14" s="129"/>
      <c r="ZE14" s="129"/>
      <c r="ZF14" s="242" t="s">
        <v>32</v>
      </c>
      <c r="ZG14" s="242"/>
      <c r="ZH14" s="242"/>
      <c r="ZI14" s="242"/>
      <c r="ZJ14" s="104"/>
      <c r="ZK14" s="104"/>
      <c r="ZL14" s="252" t="s">
        <v>22</v>
      </c>
      <c r="ZM14" s="252"/>
      <c r="ZN14" s="252"/>
      <c r="ZO14" s="252"/>
      <c r="ZP14" s="129"/>
      <c r="ZQ14" s="129"/>
      <c r="ZR14" s="242" t="s">
        <v>33</v>
      </c>
      <c r="ZS14" s="242"/>
      <c r="ZT14" s="242"/>
      <c r="ZU14" s="242"/>
      <c r="ZV14" s="104"/>
      <c r="ZW14" s="104"/>
      <c r="ZX14" s="252" t="s">
        <v>23</v>
      </c>
      <c r="ZY14" s="252"/>
      <c r="ZZ14" s="252"/>
      <c r="AAA14" s="252"/>
      <c r="AAB14" s="129"/>
      <c r="AAC14" s="129"/>
      <c r="AAD14" s="242" t="s">
        <v>34</v>
      </c>
      <c r="AAE14" s="242"/>
      <c r="AAF14" s="242"/>
      <c r="AAG14" s="242"/>
      <c r="AAH14" s="104"/>
      <c r="AAI14" s="104"/>
      <c r="AAJ14" s="252" t="s">
        <v>24</v>
      </c>
      <c r="AAK14" s="252"/>
      <c r="AAL14" s="252"/>
      <c r="AAM14" s="252"/>
      <c r="AAN14" s="129"/>
      <c r="AAO14" s="129"/>
      <c r="AAP14" s="242" t="s">
        <v>35</v>
      </c>
      <c r="AAQ14" s="242"/>
      <c r="AAR14" s="242"/>
      <c r="AAS14" s="242"/>
      <c r="AAT14" s="104"/>
      <c r="AAU14" s="104"/>
      <c r="AAV14" s="104"/>
      <c r="AAW14" s="105"/>
      <c r="AAX14" s="103"/>
      <c r="AAY14" s="104"/>
      <c r="AAZ14" s="104"/>
      <c r="ABA14" s="104"/>
      <c r="ABB14" s="242" t="s">
        <v>31</v>
      </c>
      <c r="ABC14" s="242"/>
      <c r="ABD14" s="242"/>
      <c r="ABE14" s="242"/>
      <c r="ABF14" s="104"/>
      <c r="ABG14" s="104"/>
      <c r="ABH14" s="252" t="s">
        <v>21</v>
      </c>
      <c r="ABI14" s="252"/>
      <c r="ABJ14" s="252"/>
      <c r="ABK14" s="252"/>
      <c r="ABL14" s="129"/>
      <c r="ABM14" s="129"/>
      <c r="ABN14" s="242" t="s">
        <v>32</v>
      </c>
      <c r="ABO14" s="242"/>
      <c r="ABP14" s="242"/>
      <c r="ABQ14" s="242"/>
      <c r="ABR14" s="104"/>
      <c r="ABS14" s="104"/>
      <c r="ABT14" s="252" t="s">
        <v>22</v>
      </c>
      <c r="ABU14" s="252"/>
      <c r="ABV14" s="252"/>
      <c r="ABW14" s="252"/>
      <c r="ABX14" s="129"/>
      <c r="ABY14" s="129"/>
      <c r="ABZ14" s="242" t="s">
        <v>33</v>
      </c>
      <c r="ACA14" s="242"/>
      <c r="ACB14" s="242"/>
      <c r="ACC14" s="242"/>
      <c r="ACD14" s="104"/>
      <c r="ACE14" s="104"/>
      <c r="ACF14" s="252" t="s">
        <v>23</v>
      </c>
      <c r="ACG14" s="252"/>
      <c r="ACH14" s="252"/>
      <c r="ACI14" s="252"/>
      <c r="ACJ14" s="129"/>
      <c r="ACK14" s="129"/>
      <c r="ACL14" s="242" t="s">
        <v>34</v>
      </c>
      <c r="ACM14" s="242"/>
      <c r="ACN14" s="242"/>
      <c r="ACO14" s="242"/>
      <c r="ACP14" s="104"/>
      <c r="ACQ14" s="104"/>
      <c r="ACR14" s="252" t="s">
        <v>24</v>
      </c>
      <c r="ACS14" s="252"/>
      <c r="ACT14" s="252"/>
      <c r="ACU14" s="252"/>
      <c r="ACV14" s="129"/>
      <c r="ACW14" s="129"/>
      <c r="ACX14" s="242" t="s">
        <v>35</v>
      </c>
      <c r="ACY14" s="242"/>
      <c r="ACZ14" s="242"/>
      <c r="ADA14" s="242"/>
      <c r="ADB14" s="104"/>
      <c r="ADC14" s="104"/>
      <c r="ADD14" s="104"/>
      <c r="ADE14" s="105"/>
      <c r="ADF14" s="103"/>
      <c r="ADG14" s="104"/>
      <c r="ADH14" s="104"/>
      <c r="ADI14" s="104"/>
      <c r="ADJ14" s="242" t="s">
        <v>31</v>
      </c>
      <c r="ADK14" s="242"/>
      <c r="ADL14" s="242"/>
      <c r="ADM14" s="242"/>
      <c r="ADN14" s="104"/>
      <c r="ADO14" s="104"/>
      <c r="ADP14" s="252" t="s">
        <v>21</v>
      </c>
      <c r="ADQ14" s="252"/>
      <c r="ADR14" s="252"/>
      <c r="ADS14" s="252"/>
      <c r="ADT14" s="129"/>
      <c r="ADU14" s="129"/>
      <c r="ADV14" s="242" t="s">
        <v>32</v>
      </c>
      <c r="ADW14" s="242"/>
      <c r="ADX14" s="242"/>
      <c r="ADY14" s="242"/>
      <c r="ADZ14" s="104"/>
      <c r="AEA14" s="104"/>
      <c r="AEB14" s="252" t="s">
        <v>22</v>
      </c>
      <c r="AEC14" s="252"/>
      <c r="AED14" s="252"/>
      <c r="AEE14" s="252"/>
      <c r="AEF14" s="129"/>
      <c r="AEG14" s="129"/>
      <c r="AEH14" s="242" t="s">
        <v>33</v>
      </c>
      <c r="AEI14" s="242"/>
      <c r="AEJ14" s="242"/>
      <c r="AEK14" s="242"/>
      <c r="AEL14" s="104"/>
      <c r="AEM14" s="104"/>
      <c r="AEN14" s="252" t="s">
        <v>23</v>
      </c>
      <c r="AEO14" s="252"/>
      <c r="AEP14" s="252"/>
      <c r="AEQ14" s="252"/>
      <c r="AER14" s="129"/>
      <c r="AES14" s="129"/>
      <c r="AET14" s="242" t="s">
        <v>34</v>
      </c>
      <c r="AEU14" s="242"/>
      <c r="AEV14" s="242"/>
      <c r="AEW14" s="242"/>
      <c r="AEX14" s="104"/>
      <c r="AEY14" s="104"/>
      <c r="AEZ14" s="252" t="s">
        <v>24</v>
      </c>
      <c r="AFA14" s="252"/>
      <c r="AFB14" s="252"/>
      <c r="AFC14" s="252"/>
      <c r="AFD14" s="129"/>
      <c r="AFE14" s="129"/>
      <c r="AFF14" s="242" t="s">
        <v>35</v>
      </c>
      <c r="AFG14" s="242"/>
      <c r="AFH14" s="242"/>
      <c r="AFI14" s="242"/>
      <c r="AFJ14" s="104"/>
      <c r="AFK14" s="104"/>
      <c r="AFL14" s="104"/>
      <c r="AFM14" s="105"/>
      <c r="AFN14" s="103"/>
      <c r="AFO14" s="104"/>
      <c r="AFP14" s="104"/>
      <c r="AFQ14" s="104"/>
      <c r="AFR14" s="242" t="s">
        <v>31</v>
      </c>
      <c r="AFS14" s="242"/>
      <c r="AFT14" s="242"/>
      <c r="AFU14" s="242"/>
      <c r="AFV14" s="104"/>
      <c r="AFW14" s="104"/>
      <c r="AFX14" s="252" t="s">
        <v>21</v>
      </c>
      <c r="AFY14" s="252"/>
      <c r="AFZ14" s="252"/>
      <c r="AGA14" s="252"/>
      <c r="AGB14" s="129"/>
      <c r="AGC14" s="129"/>
      <c r="AGD14" s="242" t="s">
        <v>32</v>
      </c>
      <c r="AGE14" s="242"/>
      <c r="AGF14" s="242"/>
      <c r="AGG14" s="242"/>
      <c r="AGH14" s="104"/>
      <c r="AGI14" s="104"/>
      <c r="AGJ14" s="252" t="s">
        <v>22</v>
      </c>
      <c r="AGK14" s="252"/>
      <c r="AGL14" s="252"/>
      <c r="AGM14" s="252"/>
      <c r="AGN14" s="129"/>
      <c r="AGO14" s="129"/>
      <c r="AGP14" s="242" t="s">
        <v>33</v>
      </c>
      <c r="AGQ14" s="242"/>
      <c r="AGR14" s="242"/>
      <c r="AGS14" s="242"/>
      <c r="AGT14" s="104"/>
      <c r="AGU14" s="104"/>
      <c r="AGV14" s="252" t="s">
        <v>23</v>
      </c>
      <c r="AGW14" s="252"/>
      <c r="AGX14" s="252"/>
      <c r="AGY14" s="252"/>
      <c r="AGZ14" s="129"/>
      <c r="AHA14" s="129"/>
      <c r="AHB14" s="242" t="s">
        <v>34</v>
      </c>
      <c r="AHC14" s="242"/>
      <c r="AHD14" s="242"/>
      <c r="AHE14" s="242"/>
      <c r="AHF14" s="104"/>
      <c r="AHG14" s="104"/>
      <c r="AHH14" s="252" t="s">
        <v>24</v>
      </c>
      <c r="AHI14" s="252"/>
      <c r="AHJ14" s="252"/>
      <c r="AHK14" s="252"/>
      <c r="AHL14" s="129"/>
      <c r="AHM14" s="129"/>
      <c r="AHN14" s="242" t="s">
        <v>35</v>
      </c>
      <c r="AHO14" s="242"/>
      <c r="AHP14" s="242"/>
      <c r="AHQ14" s="242"/>
      <c r="AHR14" s="104"/>
      <c r="AHS14" s="104"/>
      <c r="AHT14" s="104"/>
      <c r="AHU14" s="105"/>
      <c r="AHV14" s="103"/>
      <c r="AHW14" s="104"/>
      <c r="AHX14" s="104"/>
      <c r="AHY14" s="104"/>
      <c r="AHZ14" s="242" t="s">
        <v>31</v>
      </c>
      <c r="AIA14" s="242"/>
      <c r="AIB14" s="242"/>
      <c r="AIC14" s="242"/>
      <c r="AID14" s="104"/>
      <c r="AIE14" s="104"/>
      <c r="AIF14" s="252" t="s">
        <v>21</v>
      </c>
      <c r="AIG14" s="252"/>
      <c r="AIH14" s="252"/>
      <c r="AII14" s="252"/>
      <c r="AIJ14" s="129"/>
      <c r="AIK14" s="129"/>
      <c r="AIL14" s="242" t="s">
        <v>32</v>
      </c>
      <c r="AIM14" s="242"/>
      <c r="AIN14" s="242"/>
      <c r="AIO14" s="242"/>
      <c r="AIP14" s="104"/>
      <c r="AIQ14" s="104"/>
      <c r="AIR14" s="252" t="s">
        <v>22</v>
      </c>
      <c r="AIS14" s="252"/>
      <c r="AIT14" s="252"/>
      <c r="AIU14" s="252"/>
      <c r="AIV14" s="129"/>
      <c r="AIW14" s="129"/>
      <c r="AIX14" s="242" t="s">
        <v>33</v>
      </c>
      <c r="AIY14" s="242"/>
      <c r="AIZ14" s="242"/>
      <c r="AJA14" s="242"/>
      <c r="AJB14" s="104"/>
      <c r="AJC14" s="104"/>
      <c r="AJD14" s="252" t="s">
        <v>23</v>
      </c>
      <c r="AJE14" s="252"/>
      <c r="AJF14" s="252"/>
      <c r="AJG14" s="252"/>
      <c r="AJH14" s="129"/>
      <c r="AJI14" s="129"/>
      <c r="AJJ14" s="242" t="s">
        <v>34</v>
      </c>
      <c r="AJK14" s="242"/>
      <c r="AJL14" s="242"/>
      <c r="AJM14" s="242"/>
      <c r="AJN14" s="104"/>
      <c r="AJO14" s="104"/>
      <c r="AJP14" s="252" t="s">
        <v>24</v>
      </c>
      <c r="AJQ14" s="252"/>
      <c r="AJR14" s="252"/>
      <c r="AJS14" s="252"/>
      <c r="AJT14" s="129"/>
      <c r="AJU14" s="129"/>
      <c r="AJV14" s="242" t="s">
        <v>35</v>
      </c>
      <c r="AJW14" s="242"/>
      <c r="AJX14" s="242"/>
      <c r="AJY14" s="242"/>
      <c r="AJZ14" s="104"/>
      <c r="AKA14" s="104"/>
      <c r="AKB14" s="104"/>
      <c r="AKC14" s="105"/>
      <c r="AKD14" s="103"/>
      <c r="AKE14" s="104"/>
      <c r="AKF14" s="104"/>
      <c r="AKG14" s="104"/>
      <c r="AKH14" s="242" t="s">
        <v>31</v>
      </c>
      <c r="AKI14" s="242"/>
      <c r="AKJ14" s="242"/>
      <c r="AKK14" s="242"/>
      <c r="AKL14" s="104"/>
      <c r="AKM14" s="104"/>
      <c r="AKN14" s="252" t="s">
        <v>21</v>
      </c>
      <c r="AKO14" s="252"/>
      <c r="AKP14" s="252"/>
      <c r="AKQ14" s="252"/>
      <c r="AKR14" s="129"/>
      <c r="AKS14" s="129"/>
      <c r="AKT14" s="242" t="s">
        <v>32</v>
      </c>
      <c r="AKU14" s="242"/>
      <c r="AKV14" s="242"/>
      <c r="AKW14" s="242"/>
      <c r="AKX14" s="104"/>
      <c r="AKY14" s="104"/>
      <c r="AKZ14" s="252" t="s">
        <v>22</v>
      </c>
      <c r="ALA14" s="252"/>
      <c r="ALB14" s="252"/>
      <c r="ALC14" s="252"/>
      <c r="ALD14" s="129"/>
      <c r="ALE14" s="129"/>
      <c r="ALF14" s="242" t="s">
        <v>33</v>
      </c>
      <c r="ALG14" s="242"/>
      <c r="ALH14" s="242"/>
      <c r="ALI14" s="242"/>
      <c r="ALJ14" s="104"/>
      <c r="ALK14" s="104"/>
      <c r="ALL14" s="252" t="s">
        <v>23</v>
      </c>
      <c r="ALM14" s="252"/>
      <c r="ALN14" s="252"/>
      <c r="ALO14" s="252"/>
      <c r="ALP14" s="129"/>
      <c r="ALQ14" s="129"/>
      <c r="ALR14" s="242" t="s">
        <v>34</v>
      </c>
      <c r="ALS14" s="242"/>
      <c r="ALT14" s="242"/>
      <c r="ALU14" s="242"/>
      <c r="ALV14" s="104"/>
      <c r="ALW14" s="104"/>
      <c r="ALX14" s="252" t="s">
        <v>24</v>
      </c>
      <c r="ALY14" s="252"/>
      <c r="ALZ14" s="252"/>
      <c r="AMA14" s="252"/>
      <c r="AMB14" s="129"/>
      <c r="AMC14" s="129"/>
      <c r="AMD14" s="242" t="s">
        <v>35</v>
      </c>
      <c r="AME14" s="242"/>
      <c r="AMF14" s="242"/>
      <c r="AMG14" s="242"/>
      <c r="AMH14" s="104"/>
      <c r="AMI14" s="104"/>
      <c r="AMJ14" s="104"/>
      <c r="AMK14" s="105"/>
      <c r="AML14" s="103"/>
      <c r="AMM14" s="104"/>
      <c r="AMN14" s="104"/>
      <c r="AMO14" s="104"/>
      <c r="AMP14" s="242" t="s">
        <v>31</v>
      </c>
      <c r="AMQ14" s="242"/>
      <c r="AMR14" s="242"/>
      <c r="AMS14" s="242"/>
      <c r="AMT14" s="104"/>
      <c r="AMU14" s="104"/>
      <c r="AMV14" s="252" t="s">
        <v>21</v>
      </c>
      <c r="AMW14" s="252"/>
      <c r="AMX14" s="252"/>
      <c r="AMY14" s="252"/>
      <c r="AMZ14" s="129"/>
      <c r="ANA14" s="129"/>
      <c r="ANB14" s="242" t="s">
        <v>32</v>
      </c>
      <c r="ANC14" s="242"/>
      <c r="AND14" s="242"/>
      <c r="ANE14" s="242"/>
      <c r="ANF14" s="104"/>
      <c r="ANG14" s="104"/>
      <c r="ANH14" s="252" t="s">
        <v>22</v>
      </c>
      <c r="ANI14" s="252"/>
      <c r="ANJ14" s="252"/>
      <c r="ANK14" s="252"/>
      <c r="ANL14" s="129"/>
      <c r="ANM14" s="129"/>
      <c r="ANN14" s="242" t="s">
        <v>33</v>
      </c>
      <c r="ANO14" s="242"/>
      <c r="ANP14" s="242"/>
      <c r="ANQ14" s="242"/>
      <c r="ANR14" s="104"/>
      <c r="ANS14" s="104"/>
      <c r="ANT14" s="252" t="s">
        <v>23</v>
      </c>
      <c r="ANU14" s="252"/>
      <c r="ANV14" s="252"/>
      <c r="ANW14" s="252"/>
      <c r="ANX14" s="129"/>
      <c r="ANY14" s="129"/>
      <c r="ANZ14" s="242" t="s">
        <v>34</v>
      </c>
      <c r="AOA14" s="242"/>
      <c r="AOB14" s="242"/>
      <c r="AOC14" s="242"/>
      <c r="AOD14" s="104"/>
      <c r="AOE14" s="104"/>
      <c r="AOF14" s="252" t="s">
        <v>24</v>
      </c>
      <c r="AOG14" s="252"/>
      <c r="AOH14" s="252"/>
      <c r="AOI14" s="252"/>
      <c r="AOJ14" s="129"/>
      <c r="AOK14" s="129"/>
      <c r="AOL14" s="242" t="s">
        <v>35</v>
      </c>
      <c r="AOM14" s="242"/>
      <c r="AON14" s="242"/>
      <c r="AOO14" s="242"/>
      <c r="AOP14" s="104"/>
      <c r="AOQ14" s="104"/>
      <c r="AOR14" s="104"/>
      <c r="AOS14" s="105"/>
      <c r="AOT14" s="103"/>
      <c r="AOU14" s="104"/>
      <c r="AOV14" s="104"/>
      <c r="AOW14" s="104"/>
      <c r="AOX14" s="242" t="s">
        <v>31</v>
      </c>
      <c r="AOY14" s="242"/>
      <c r="AOZ14" s="242"/>
      <c r="APA14" s="242"/>
      <c r="APB14" s="104"/>
      <c r="APC14" s="104"/>
      <c r="APD14" s="252" t="s">
        <v>21</v>
      </c>
      <c r="APE14" s="252"/>
      <c r="APF14" s="252"/>
      <c r="APG14" s="252"/>
      <c r="APH14" s="129"/>
      <c r="API14" s="129"/>
      <c r="APJ14" s="242" t="s">
        <v>32</v>
      </c>
      <c r="APK14" s="242"/>
      <c r="APL14" s="242"/>
      <c r="APM14" s="242"/>
      <c r="APN14" s="104"/>
      <c r="APO14" s="104"/>
      <c r="APP14" s="252" t="s">
        <v>22</v>
      </c>
      <c r="APQ14" s="252"/>
      <c r="APR14" s="252"/>
      <c r="APS14" s="252"/>
      <c r="APT14" s="129"/>
      <c r="APU14" s="129"/>
      <c r="APV14" s="242" t="s">
        <v>33</v>
      </c>
      <c r="APW14" s="242"/>
      <c r="APX14" s="242"/>
      <c r="APY14" s="242"/>
      <c r="APZ14" s="104"/>
      <c r="AQA14" s="104"/>
      <c r="AQB14" s="252" t="s">
        <v>23</v>
      </c>
      <c r="AQC14" s="252"/>
      <c r="AQD14" s="252"/>
      <c r="AQE14" s="252"/>
      <c r="AQF14" s="129"/>
      <c r="AQG14" s="129"/>
      <c r="AQH14" s="242" t="s">
        <v>34</v>
      </c>
      <c r="AQI14" s="242"/>
      <c r="AQJ14" s="242"/>
      <c r="AQK14" s="242"/>
      <c r="AQL14" s="104"/>
      <c r="AQM14" s="104"/>
      <c r="AQN14" s="252" t="s">
        <v>24</v>
      </c>
      <c r="AQO14" s="252"/>
      <c r="AQP14" s="252"/>
      <c r="AQQ14" s="252"/>
      <c r="AQR14" s="129"/>
      <c r="AQS14" s="129"/>
      <c r="AQT14" s="242" t="s">
        <v>35</v>
      </c>
      <c r="AQU14" s="242"/>
      <c r="AQV14" s="242"/>
      <c r="AQW14" s="242"/>
      <c r="AQX14" s="104"/>
      <c r="AQY14" s="104"/>
      <c r="AQZ14" s="104"/>
      <c r="ARA14" s="105"/>
      <c r="ARB14" s="103"/>
      <c r="ARC14" s="104"/>
      <c r="ARD14" s="104"/>
      <c r="ARE14" s="104"/>
      <c r="ARF14" s="242" t="s">
        <v>31</v>
      </c>
      <c r="ARG14" s="242"/>
      <c r="ARH14" s="242"/>
      <c r="ARI14" s="242"/>
      <c r="ARJ14" s="104"/>
      <c r="ARK14" s="104"/>
      <c r="ARL14" s="252" t="s">
        <v>21</v>
      </c>
      <c r="ARM14" s="252"/>
      <c r="ARN14" s="252"/>
      <c r="ARO14" s="252"/>
      <c r="ARP14" s="129"/>
      <c r="ARQ14" s="129"/>
      <c r="ARR14" s="242" t="s">
        <v>32</v>
      </c>
      <c r="ARS14" s="242"/>
      <c r="ART14" s="242"/>
      <c r="ARU14" s="242"/>
      <c r="ARV14" s="104"/>
      <c r="ARW14" s="104"/>
      <c r="ARX14" s="252" t="s">
        <v>22</v>
      </c>
      <c r="ARY14" s="252"/>
      <c r="ARZ14" s="252"/>
      <c r="ASA14" s="252"/>
      <c r="ASB14" s="129"/>
      <c r="ASC14" s="129"/>
      <c r="ASD14" s="242" t="s">
        <v>33</v>
      </c>
      <c r="ASE14" s="242"/>
      <c r="ASF14" s="242"/>
      <c r="ASG14" s="242"/>
      <c r="ASH14" s="104"/>
      <c r="ASI14" s="104"/>
      <c r="ASJ14" s="252" t="s">
        <v>23</v>
      </c>
      <c r="ASK14" s="252"/>
      <c r="ASL14" s="252"/>
      <c r="ASM14" s="252"/>
      <c r="ASN14" s="129"/>
      <c r="ASO14" s="129"/>
      <c r="ASP14" s="242" t="s">
        <v>34</v>
      </c>
      <c r="ASQ14" s="242"/>
      <c r="ASR14" s="242"/>
      <c r="ASS14" s="242"/>
      <c r="AST14" s="104"/>
      <c r="ASU14" s="104"/>
      <c r="ASV14" s="252" t="s">
        <v>24</v>
      </c>
      <c r="ASW14" s="252"/>
      <c r="ASX14" s="252"/>
      <c r="ASY14" s="252"/>
      <c r="ASZ14" s="129"/>
      <c r="ATA14" s="129"/>
      <c r="ATB14" s="242" t="s">
        <v>35</v>
      </c>
      <c r="ATC14" s="242"/>
      <c r="ATD14" s="242"/>
      <c r="ATE14" s="242"/>
      <c r="ATF14" s="104"/>
      <c r="ATG14" s="104"/>
      <c r="ATH14" s="104"/>
      <c r="ATI14" s="105"/>
      <c r="ATJ14" s="103"/>
      <c r="ATK14" s="104"/>
      <c r="ATL14" s="104"/>
      <c r="ATM14" s="104"/>
      <c r="ATN14" s="242" t="s">
        <v>31</v>
      </c>
      <c r="ATO14" s="242"/>
      <c r="ATP14" s="242"/>
      <c r="ATQ14" s="242"/>
      <c r="ATR14" s="104"/>
      <c r="ATS14" s="104"/>
      <c r="ATT14" s="252" t="s">
        <v>21</v>
      </c>
      <c r="ATU14" s="252"/>
      <c r="ATV14" s="252"/>
      <c r="ATW14" s="252"/>
      <c r="ATX14" s="129"/>
      <c r="ATY14" s="129"/>
      <c r="ATZ14" s="242" t="s">
        <v>32</v>
      </c>
      <c r="AUA14" s="242"/>
      <c r="AUB14" s="242"/>
      <c r="AUC14" s="242"/>
      <c r="AUD14" s="104"/>
      <c r="AUE14" s="104"/>
      <c r="AUF14" s="252" t="s">
        <v>22</v>
      </c>
      <c r="AUG14" s="252"/>
      <c r="AUH14" s="252"/>
      <c r="AUI14" s="252"/>
      <c r="AUJ14" s="129"/>
      <c r="AUK14" s="129"/>
      <c r="AUL14" s="242" t="s">
        <v>33</v>
      </c>
      <c r="AUM14" s="242"/>
      <c r="AUN14" s="242"/>
      <c r="AUO14" s="242"/>
      <c r="AUP14" s="104"/>
      <c r="AUQ14" s="104"/>
      <c r="AUR14" s="252" t="s">
        <v>23</v>
      </c>
      <c r="AUS14" s="252"/>
      <c r="AUT14" s="252"/>
      <c r="AUU14" s="252"/>
      <c r="AUV14" s="129"/>
      <c r="AUW14" s="129"/>
      <c r="AUX14" s="242" t="s">
        <v>34</v>
      </c>
      <c r="AUY14" s="242"/>
      <c r="AUZ14" s="242"/>
      <c r="AVA14" s="242"/>
      <c r="AVB14" s="104"/>
      <c r="AVC14" s="104"/>
      <c r="AVD14" s="252" t="s">
        <v>24</v>
      </c>
      <c r="AVE14" s="252"/>
      <c r="AVF14" s="252"/>
      <c r="AVG14" s="252"/>
      <c r="AVH14" s="129"/>
      <c r="AVI14" s="129"/>
      <c r="AVJ14" s="242" t="s">
        <v>35</v>
      </c>
      <c r="AVK14" s="242"/>
      <c r="AVL14" s="242"/>
      <c r="AVM14" s="242"/>
      <c r="AVN14" s="104"/>
      <c r="AVO14" s="104"/>
      <c r="AVP14" s="104"/>
      <c r="AVQ14" s="105"/>
      <c r="AVR14" s="103"/>
      <c r="AVS14" s="104"/>
      <c r="AVT14" s="104"/>
      <c r="AVU14" s="104"/>
      <c r="AVV14" s="242" t="s">
        <v>31</v>
      </c>
      <c r="AVW14" s="242"/>
      <c r="AVX14" s="242"/>
      <c r="AVY14" s="242"/>
      <c r="AVZ14" s="104"/>
      <c r="AWA14" s="104"/>
      <c r="AWB14" s="252" t="s">
        <v>21</v>
      </c>
      <c r="AWC14" s="252"/>
      <c r="AWD14" s="252"/>
      <c r="AWE14" s="252"/>
      <c r="AWF14" s="129"/>
      <c r="AWG14" s="129"/>
      <c r="AWH14" s="242" t="s">
        <v>32</v>
      </c>
      <c r="AWI14" s="242"/>
      <c r="AWJ14" s="242"/>
      <c r="AWK14" s="242"/>
      <c r="AWL14" s="104"/>
      <c r="AWM14" s="104"/>
      <c r="AWN14" s="252" t="s">
        <v>22</v>
      </c>
      <c r="AWO14" s="252"/>
      <c r="AWP14" s="252"/>
      <c r="AWQ14" s="252"/>
      <c r="AWR14" s="129"/>
      <c r="AWS14" s="129"/>
      <c r="AWT14" s="242" t="s">
        <v>33</v>
      </c>
      <c r="AWU14" s="242"/>
      <c r="AWV14" s="242"/>
      <c r="AWW14" s="242"/>
      <c r="AWX14" s="104"/>
      <c r="AWY14" s="104"/>
      <c r="AWZ14" s="252" t="s">
        <v>23</v>
      </c>
      <c r="AXA14" s="252"/>
      <c r="AXB14" s="252"/>
      <c r="AXC14" s="252"/>
      <c r="AXD14" s="129"/>
      <c r="AXE14" s="129"/>
      <c r="AXF14" s="242" t="s">
        <v>34</v>
      </c>
      <c r="AXG14" s="242"/>
      <c r="AXH14" s="242"/>
      <c r="AXI14" s="242"/>
      <c r="AXJ14" s="104"/>
      <c r="AXK14" s="104"/>
      <c r="AXL14" s="252" t="s">
        <v>24</v>
      </c>
      <c r="AXM14" s="252"/>
      <c r="AXN14" s="252"/>
      <c r="AXO14" s="252"/>
      <c r="AXP14" s="129"/>
      <c r="AXQ14" s="129"/>
      <c r="AXR14" s="242" t="s">
        <v>35</v>
      </c>
      <c r="AXS14" s="242"/>
      <c r="AXT14" s="242"/>
      <c r="AXU14" s="242"/>
      <c r="AXV14" s="104"/>
      <c r="AXW14" s="104"/>
      <c r="AXX14" s="104"/>
      <c r="AXY14" s="105"/>
      <c r="AXZ14" s="103"/>
      <c r="AYA14" s="104"/>
      <c r="AYB14" s="104"/>
      <c r="AYC14" s="104"/>
      <c r="AYD14" s="242" t="s">
        <v>31</v>
      </c>
      <c r="AYE14" s="242"/>
      <c r="AYF14" s="242"/>
      <c r="AYG14" s="242"/>
      <c r="AYH14" s="104"/>
      <c r="AYI14" s="104"/>
      <c r="AYJ14" s="252" t="s">
        <v>21</v>
      </c>
      <c r="AYK14" s="252"/>
      <c r="AYL14" s="252"/>
      <c r="AYM14" s="252"/>
      <c r="AYN14" s="129"/>
      <c r="AYO14" s="129"/>
      <c r="AYP14" s="242" t="s">
        <v>32</v>
      </c>
      <c r="AYQ14" s="242"/>
      <c r="AYR14" s="242"/>
      <c r="AYS14" s="242"/>
      <c r="AYT14" s="104"/>
      <c r="AYU14" s="104"/>
      <c r="AYV14" s="252" t="s">
        <v>22</v>
      </c>
      <c r="AYW14" s="252"/>
      <c r="AYX14" s="252"/>
      <c r="AYY14" s="252"/>
      <c r="AYZ14" s="129"/>
      <c r="AZA14" s="129"/>
      <c r="AZB14" s="242" t="s">
        <v>33</v>
      </c>
      <c r="AZC14" s="242"/>
      <c r="AZD14" s="242"/>
      <c r="AZE14" s="242"/>
      <c r="AZF14" s="104"/>
      <c r="AZG14" s="104"/>
      <c r="AZH14" s="252" t="s">
        <v>23</v>
      </c>
      <c r="AZI14" s="252"/>
      <c r="AZJ14" s="252"/>
      <c r="AZK14" s="252"/>
      <c r="AZL14" s="129"/>
      <c r="AZM14" s="129"/>
      <c r="AZN14" s="242" t="s">
        <v>34</v>
      </c>
      <c r="AZO14" s="242"/>
      <c r="AZP14" s="242"/>
      <c r="AZQ14" s="242"/>
      <c r="AZR14" s="104"/>
      <c r="AZS14" s="104"/>
      <c r="AZT14" s="252" t="s">
        <v>24</v>
      </c>
      <c r="AZU14" s="252"/>
      <c r="AZV14" s="252"/>
      <c r="AZW14" s="252"/>
      <c r="AZX14" s="129"/>
      <c r="AZY14" s="129"/>
      <c r="AZZ14" s="242" t="s">
        <v>35</v>
      </c>
      <c r="BAA14" s="242"/>
      <c r="BAB14" s="242"/>
      <c r="BAC14" s="242"/>
      <c r="BAD14" s="104"/>
      <c r="BAE14" s="104"/>
      <c r="BAF14" s="104"/>
      <c r="BAG14" s="105"/>
      <c r="BAH14" s="103"/>
      <c r="BAI14" s="104"/>
      <c r="BAJ14" s="104"/>
      <c r="BAK14" s="104"/>
      <c r="BAL14" s="242" t="s">
        <v>31</v>
      </c>
      <c r="BAM14" s="242"/>
      <c r="BAN14" s="242"/>
      <c r="BAO14" s="242"/>
      <c r="BAP14" s="104"/>
      <c r="BAQ14" s="104"/>
      <c r="BAR14" s="252" t="s">
        <v>21</v>
      </c>
      <c r="BAS14" s="252"/>
      <c r="BAT14" s="252"/>
      <c r="BAU14" s="252"/>
      <c r="BAV14" s="129"/>
      <c r="BAW14" s="129"/>
      <c r="BAX14" s="242" t="s">
        <v>32</v>
      </c>
      <c r="BAY14" s="242"/>
      <c r="BAZ14" s="242"/>
      <c r="BBA14" s="242"/>
      <c r="BBB14" s="104"/>
      <c r="BBC14" s="104"/>
      <c r="BBD14" s="252" t="s">
        <v>22</v>
      </c>
      <c r="BBE14" s="252"/>
      <c r="BBF14" s="252"/>
      <c r="BBG14" s="252"/>
      <c r="BBH14" s="129"/>
      <c r="BBI14" s="129"/>
      <c r="BBJ14" s="242" t="s">
        <v>33</v>
      </c>
      <c r="BBK14" s="242"/>
      <c r="BBL14" s="242"/>
      <c r="BBM14" s="242"/>
      <c r="BBN14" s="104"/>
      <c r="BBO14" s="104"/>
      <c r="BBP14" s="252" t="s">
        <v>23</v>
      </c>
      <c r="BBQ14" s="252"/>
      <c r="BBR14" s="252"/>
      <c r="BBS14" s="252"/>
      <c r="BBT14" s="129"/>
      <c r="BBU14" s="129"/>
      <c r="BBV14" s="242" t="s">
        <v>34</v>
      </c>
      <c r="BBW14" s="242"/>
      <c r="BBX14" s="242"/>
      <c r="BBY14" s="242"/>
      <c r="BBZ14" s="104"/>
      <c r="BCA14" s="104"/>
      <c r="BCB14" s="252" t="s">
        <v>24</v>
      </c>
      <c r="BCC14" s="252"/>
      <c r="BCD14" s="252"/>
      <c r="BCE14" s="252"/>
      <c r="BCF14" s="129"/>
      <c r="BCG14" s="129"/>
      <c r="BCH14" s="242" t="s">
        <v>35</v>
      </c>
      <c r="BCI14" s="242"/>
      <c r="BCJ14" s="242"/>
      <c r="BCK14" s="242"/>
      <c r="BCL14" s="104"/>
      <c r="BCM14" s="104"/>
      <c r="BCN14" s="104"/>
      <c r="BCO14" s="105"/>
      <c r="BCP14" s="103"/>
      <c r="BCQ14" s="104"/>
      <c r="BCR14" s="104"/>
      <c r="BCS14" s="104"/>
      <c r="BCT14" s="242" t="s">
        <v>31</v>
      </c>
      <c r="BCU14" s="242"/>
      <c r="BCV14" s="242"/>
      <c r="BCW14" s="242"/>
      <c r="BCX14" s="104"/>
      <c r="BCY14" s="104"/>
      <c r="BCZ14" s="252" t="s">
        <v>21</v>
      </c>
      <c r="BDA14" s="252"/>
      <c r="BDB14" s="252"/>
      <c r="BDC14" s="252"/>
      <c r="BDD14" s="129"/>
      <c r="BDE14" s="129"/>
      <c r="BDF14" s="242" t="s">
        <v>32</v>
      </c>
      <c r="BDG14" s="242"/>
      <c r="BDH14" s="242"/>
      <c r="BDI14" s="242"/>
      <c r="BDJ14" s="104"/>
      <c r="BDK14" s="104"/>
      <c r="BDL14" s="252" t="s">
        <v>22</v>
      </c>
      <c r="BDM14" s="252"/>
      <c r="BDN14" s="252"/>
      <c r="BDO14" s="252"/>
      <c r="BDP14" s="129"/>
      <c r="BDQ14" s="129"/>
      <c r="BDR14" s="242" t="s">
        <v>33</v>
      </c>
      <c r="BDS14" s="242"/>
      <c r="BDT14" s="242"/>
      <c r="BDU14" s="242"/>
      <c r="BDV14" s="104"/>
      <c r="BDW14" s="104"/>
      <c r="BDX14" s="252" t="s">
        <v>23</v>
      </c>
      <c r="BDY14" s="252"/>
      <c r="BDZ14" s="252"/>
      <c r="BEA14" s="252"/>
      <c r="BEB14" s="129"/>
      <c r="BEC14" s="129"/>
      <c r="BED14" s="242" t="s">
        <v>34</v>
      </c>
      <c r="BEE14" s="242"/>
      <c r="BEF14" s="242"/>
      <c r="BEG14" s="242"/>
      <c r="BEH14" s="104"/>
      <c r="BEI14" s="104"/>
      <c r="BEJ14" s="252" t="s">
        <v>24</v>
      </c>
      <c r="BEK14" s="252"/>
      <c r="BEL14" s="252"/>
      <c r="BEM14" s="252"/>
      <c r="BEN14" s="129"/>
      <c r="BEO14" s="129"/>
      <c r="BEP14" s="242" t="s">
        <v>35</v>
      </c>
      <c r="BEQ14" s="242"/>
      <c r="BER14" s="242"/>
      <c r="BES14" s="242"/>
      <c r="BET14" s="104"/>
      <c r="BEU14" s="104"/>
      <c r="BEV14" s="104"/>
      <c r="BEW14" s="105"/>
      <c r="BEX14" s="103"/>
      <c r="BEY14" s="104"/>
      <c r="BEZ14" s="104"/>
      <c r="BFA14" s="104"/>
      <c r="BFB14" s="242" t="s">
        <v>31</v>
      </c>
      <c r="BFC14" s="242"/>
      <c r="BFD14" s="242"/>
      <c r="BFE14" s="242"/>
      <c r="BFF14" s="104"/>
      <c r="BFG14" s="104"/>
      <c r="BFH14" s="252" t="s">
        <v>21</v>
      </c>
      <c r="BFI14" s="252"/>
      <c r="BFJ14" s="252"/>
      <c r="BFK14" s="252"/>
      <c r="BFL14" s="129"/>
      <c r="BFM14" s="129"/>
      <c r="BFN14" s="242" t="s">
        <v>32</v>
      </c>
      <c r="BFO14" s="242"/>
      <c r="BFP14" s="242"/>
      <c r="BFQ14" s="242"/>
      <c r="BFR14" s="104"/>
      <c r="BFS14" s="104"/>
      <c r="BFT14" s="252" t="s">
        <v>22</v>
      </c>
      <c r="BFU14" s="252"/>
      <c r="BFV14" s="252"/>
      <c r="BFW14" s="252"/>
      <c r="BFX14" s="129"/>
      <c r="BFY14" s="129"/>
      <c r="BFZ14" s="242" t="s">
        <v>33</v>
      </c>
      <c r="BGA14" s="242"/>
      <c r="BGB14" s="242"/>
      <c r="BGC14" s="242"/>
      <c r="BGD14" s="104"/>
      <c r="BGE14" s="104"/>
      <c r="BGF14" s="252" t="s">
        <v>23</v>
      </c>
      <c r="BGG14" s="252"/>
      <c r="BGH14" s="252"/>
      <c r="BGI14" s="252"/>
      <c r="BGJ14" s="129"/>
      <c r="BGK14" s="129"/>
      <c r="BGL14" s="242" t="s">
        <v>34</v>
      </c>
      <c r="BGM14" s="242"/>
      <c r="BGN14" s="242"/>
      <c r="BGO14" s="242"/>
      <c r="BGP14" s="104"/>
      <c r="BGQ14" s="104"/>
      <c r="BGR14" s="252" t="s">
        <v>24</v>
      </c>
      <c r="BGS14" s="252"/>
      <c r="BGT14" s="252"/>
      <c r="BGU14" s="252"/>
      <c r="BGV14" s="129"/>
      <c r="BGW14" s="129"/>
      <c r="BGX14" s="242" t="s">
        <v>35</v>
      </c>
      <c r="BGY14" s="242"/>
      <c r="BGZ14" s="242"/>
      <c r="BHA14" s="242"/>
      <c r="BHB14" s="104"/>
      <c r="BHC14" s="104"/>
      <c r="BHD14" s="104"/>
      <c r="BHE14" s="105"/>
      <c r="BHF14" s="90"/>
    </row>
    <row r="15" spans="1:1566" ht="20.100000000000001" customHeight="1" x14ac:dyDescent="0.25">
      <c r="A15" s="100" t="s">
        <v>17</v>
      </c>
      <c r="B15" s="63" t="str">
        <f>IF(LEN(C15)=0,"",C15)</f>
        <v xml:space="preserve">Absences - imprévus </v>
      </c>
      <c r="C15" s="23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90"/>
    </row>
    <row r="16" spans="1:1566" ht="20.100000000000001" customHeight="1" x14ac:dyDescent="0.25">
      <c r="A16" s="100" t="s">
        <v>18</v>
      </c>
      <c r="B16" s="63" t="str">
        <f>IF(LEN(C17)=0,"",C17)</f>
        <v>Visite - Chef de projet / Experts</v>
      </c>
      <c r="C16" s="234"/>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90"/>
    </row>
    <row r="17" spans="1:1566" ht="20.100000000000001" customHeight="1" x14ac:dyDescent="0.25">
      <c r="A17" s="100" t="s">
        <v>17</v>
      </c>
      <c r="B17" s="63" t="str">
        <f>IF(LEN(C19)=0,"",C19)</f>
        <v>INFORMER : Analyse du projet</v>
      </c>
      <c r="C17" s="232" t="s">
        <v>126</v>
      </c>
      <c r="D17" s="146" t="str">
        <f t="shared" si="0"/>
        <v>1h50min</v>
      </c>
      <c r="E17" s="31">
        <v>22</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193"/>
      <c r="LG17" s="19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193"/>
      <c r="XG17" s="19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193"/>
      <c r="ACI17" s="19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193"/>
      <c r="ANE17" s="19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192"/>
      <c r="ATM17" s="192"/>
      <c r="ATN17" s="193"/>
      <c r="ATO17" s="194"/>
      <c r="ATP17" s="193"/>
      <c r="ATQ17" s="193"/>
      <c r="ATR17" s="193"/>
      <c r="ATS17" s="193"/>
      <c r="ATT17" s="193"/>
      <c r="ATU17" s="195"/>
      <c r="ATV17" s="193"/>
      <c r="ATW17" s="193"/>
      <c r="ATX17" s="193"/>
      <c r="ATY17" s="19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90"/>
    </row>
    <row r="18" spans="1:1566" ht="20.100000000000001" customHeight="1" x14ac:dyDescent="0.3">
      <c r="A18" s="100" t="s">
        <v>18</v>
      </c>
      <c r="B18" s="63" t="str">
        <f>IF(LEN(C21)=0,"",C21)</f>
        <v>PLANIFIER : Planification initiale</v>
      </c>
      <c r="C18" s="233"/>
      <c r="D18" s="148" t="str">
        <f t="shared" si="0"/>
        <v>0h50min</v>
      </c>
      <c r="E18" s="35">
        <v>10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175"/>
      <c r="KW18" s="17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175"/>
      <c r="ABA18" s="175"/>
      <c r="ABB18" s="173"/>
      <c r="ABC18" s="177"/>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175"/>
      <c r="AMO18" s="175"/>
      <c r="AMP18" s="173"/>
      <c r="AMQ18" s="177"/>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90"/>
    </row>
    <row r="19" spans="1:1566" ht="20.100000000000001" customHeight="1" x14ac:dyDescent="0.25">
      <c r="A19" s="100" t="s">
        <v>17</v>
      </c>
      <c r="B19" s="63" t="str">
        <f>IF(LEN(C23)=0,"",C23)</f>
        <v>DECIDER : Choix de la solution</v>
      </c>
      <c r="C19" s="230" t="s">
        <v>41</v>
      </c>
      <c r="D19" s="146" t="str">
        <f t="shared" si="0"/>
        <v>3h30min</v>
      </c>
      <c r="E19" s="39">
        <v>42</v>
      </c>
      <c r="F19" s="190"/>
      <c r="G19" s="191"/>
      <c r="H19" s="191"/>
      <c r="I19" s="191"/>
      <c r="J19" s="197"/>
      <c r="K19" s="199"/>
      <c r="L19" s="197"/>
      <c r="M19" s="197"/>
      <c r="N19" s="197"/>
      <c r="O19" s="197"/>
      <c r="P19" s="197"/>
      <c r="Q19" s="198"/>
      <c r="R19" s="197"/>
      <c r="S19" s="197"/>
      <c r="T19" s="197"/>
      <c r="U19" s="197"/>
      <c r="V19" s="197"/>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197"/>
      <c r="CY19" s="197"/>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97"/>
      <c r="EV19" s="197"/>
      <c r="EW19" s="197"/>
      <c r="EX19" s="197"/>
      <c r="EY19" s="200"/>
      <c r="EZ19" s="191"/>
      <c r="FA19" s="191"/>
      <c r="FB19" s="191"/>
      <c r="FC19" s="191"/>
      <c r="FD19" s="197"/>
      <c r="FE19" s="198"/>
      <c r="FF19" s="197"/>
      <c r="FG19" s="197"/>
      <c r="FH19" s="197"/>
      <c r="FI19" s="197"/>
      <c r="FJ19" s="197"/>
      <c r="FK19" s="200"/>
      <c r="FL19" s="197"/>
      <c r="FM19" s="197"/>
      <c r="FN19" s="197"/>
      <c r="FO19" s="197"/>
      <c r="FP19" s="197"/>
      <c r="FQ19" s="198"/>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90"/>
    </row>
    <row r="20" spans="1:1566" ht="20.100000000000001" customHeight="1" x14ac:dyDescent="0.25">
      <c r="A20" s="100" t="s">
        <v>18</v>
      </c>
      <c r="B20" s="63" t="str">
        <f>IF(LEN(C25)=0,"",C25)</f>
        <v>REALISER - Création : Intégration</v>
      </c>
      <c r="C20" s="231"/>
      <c r="D20" s="147" t="str">
        <f t="shared" si="0"/>
        <v>3h40min</v>
      </c>
      <c r="E20" s="27">
        <v>44</v>
      </c>
      <c r="F20" s="167"/>
      <c r="G20" s="168"/>
      <c r="H20" s="168"/>
      <c r="I20" s="168"/>
      <c r="J20" s="169"/>
      <c r="K20" s="170"/>
      <c r="L20" s="169"/>
      <c r="M20" s="169"/>
      <c r="N20" s="169"/>
      <c r="O20" s="169"/>
      <c r="P20" s="169"/>
      <c r="Q20" s="171"/>
      <c r="R20" s="169"/>
      <c r="S20" s="169"/>
      <c r="T20" s="169"/>
      <c r="U20" s="169"/>
      <c r="V20" s="16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169"/>
      <c r="CY20" s="16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71"/>
      <c r="ET20" s="169"/>
      <c r="EU20" s="169"/>
      <c r="EV20" s="169"/>
      <c r="EW20" s="169"/>
      <c r="EX20" s="169"/>
      <c r="EY20" s="172"/>
      <c r="EZ20" s="168"/>
      <c r="FA20" s="168"/>
      <c r="FB20" s="168"/>
      <c r="FC20" s="168"/>
      <c r="FD20" s="169"/>
      <c r="FE20" s="171"/>
      <c r="FF20" s="169"/>
      <c r="FG20" s="169"/>
      <c r="FH20" s="169"/>
      <c r="FI20" s="169"/>
      <c r="FJ20" s="173"/>
      <c r="FK20" s="172"/>
      <c r="FL20" s="169"/>
      <c r="FM20" s="169"/>
      <c r="FN20" s="169"/>
      <c r="FO20" s="169"/>
      <c r="FP20" s="169"/>
      <c r="FQ20" s="171"/>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90"/>
    </row>
    <row r="21" spans="1:1566" ht="20.100000000000001" customHeight="1" x14ac:dyDescent="0.25">
      <c r="A21" s="100" t="s">
        <v>17</v>
      </c>
      <c r="B21" s="63" t="str">
        <f>IF(LEN(C27)=0,"",C27)</f>
        <v>REALISER - Création : Recherche utilisateur existant</v>
      </c>
      <c r="C21" s="230" t="s">
        <v>43</v>
      </c>
      <c r="D21" s="146" t="str">
        <f t="shared" si="0"/>
        <v>4h45min</v>
      </c>
      <c r="E21" s="31">
        <v>57</v>
      </c>
      <c r="F21" s="32"/>
      <c r="G21" s="64"/>
      <c r="H21" s="64"/>
      <c r="I21" s="64"/>
      <c r="J21" s="33"/>
      <c r="K21" s="132"/>
      <c r="L21" s="33"/>
      <c r="M21" s="33"/>
      <c r="N21" s="33"/>
      <c r="O21" s="33"/>
      <c r="P21" s="33"/>
      <c r="Q21" s="137"/>
      <c r="R21" s="33"/>
      <c r="S21" s="33"/>
      <c r="T21" s="33"/>
      <c r="U21" s="33"/>
      <c r="V21" s="33"/>
      <c r="W21" s="196"/>
      <c r="X21" s="193"/>
      <c r="Y21" s="193"/>
      <c r="Z21" s="193"/>
      <c r="AA21" s="193"/>
      <c r="AB21" s="193"/>
      <c r="AC21" s="195"/>
      <c r="AD21" s="193"/>
      <c r="AE21" s="193"/>
      <c r="AF21" s="193"/>
      <c r="AG21" s="193"/>
      <c r="AH21" s="193"/>
      <c r="AI21" s="196"/>
      <c r="AJ21" s="192"/>
      <c r="AK21" s="192"/>
      <c r="AL21" s="192"/>
      <c r="AM21" s="192"/>
      <c r="AN21" s="193"/>
      <c r="AO21" s="195"/>
      <c r="AP21" s="193"/>
      <c r="AQ21" s="193"/>
      <c r="AR21" s="33"/>
      <c r="AS21" s="33"/>
      <c r="AT21" s="33"/>
      <c r="AU21" s="74"/>
      <c r="AV21" s="33"/>
      <c r="AW21" s="33"/>
      <c r="AX21" s="33"/>
      <c r="AY21" s="33"/>
      <c r="AZ21" s="33"/>
      <c r="BA21" s="137"/>
      <c r="BB21" s="33"/>
      <c r="BC21" s="33"/>
      <c r="BD21" s="33"/>
      <c r="BE21" s="33"/>
      <c r="BF21" s="33"/>
      <c r="BG21" s="74"/>
      <c r="BH21" s="33"/>
      <c r="BI21" s="33"/>
      <c r="BJ21" s="33"/>
      <c r="BK21" s="33"/>
      <c r="BL21" s="33"/>
      <c r="BM21" s="34"/>
      <c r="BN21" s="201"/>
      <c r="BO21" s="192"/>
      <c r="BP21" s="192"/>
      <c r="BQ21" s="192"/>
      <c r="BR21" s="193"/>
      <c r="BS21" s="194"/>
      <c r="BT21" s="193"/>
      <c r="BU21" s="193"/>
      <c r="BV21" s="193"/>
      <c r="BW21" s="193"/>
      <c r="BX21" s="193"/>
      <c r="BY21" s="195"/>
      <c r="BZ21" s="193"/>
      <c r="CA21" s="193"/>
      <c r="CB21" s="193"/>
      <c r="CC21" s="193"/>
      <c r="CD21" s="193"/>
      <c r="CE21" s="196"/>
      <c r="CF21" s="193"/>
      <c r="CG21" s="193"/>
      <c r="CH21" s="193"/>
      <c r="CI21" s="193"/>
      <c r="CJ21" s="193"/>
      <c r="CK21" s="195"/>
      <c r="CL21" s="193"/>
      <c r="CM21" s="193"/>
      <c r="CN21" s="193"/>
      <c r="CO21" s="193"/>
      <c r="CP21" s="193"/>
      <c r="CQ21" s="196"/>
      <c r="CR21" s="192"/>
      <c r="CS21" s="192"/>
      <c r="CT21" s="192"/>
      <c r="CU21" s="192"/>
      <c r="CV21" s="193"/>
      <c r="CW21" s="195"/>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90"/>
    </row>
    <row r="22" spans="1:1566" ht="20.100000000000001" customHeight="1" x14ac:dyDescent="0.25">
      <c r="A22" s="100" t="s">
        <v>18</v>
      </c>
      <c r="B22" s="63" t="str">
        <f>IF(LEN(C29)=0,"",C29)</f>
        <v>REALISER - Création : Génération identifiant de login</v>
      </c>
      <c r="C22" s="231"/>
      <c r="D22" s="147" t="str">
        <f t="shared" si="0"/>
        <v>4h45min</v>
      </c>
      <c r="E22" s="35">
        <v>57</v>
      </c>
      <c r="F22" s="36"/>
      <c r="G22" s="65"/>
      <c r="H22" s="65"/>
      <c r="I22" s="65"/>
      <c r="J22" s="37"/>
      <c r="K22" s="133"/>
      <c r="L22" s="37"/>
      <c r="M22" s="37"/>
      <c r="N22" s="37"/>
      <c r="O22" s="37"/>
      <c r="P22" s="37"/>
      <c r="Q22" s="138"/>
      <c r="R22" s="37"/>
      <c r="S22" s="37"/>
      <c r="T22" s="37"/>
      <c r="U22" s="37"/>
      <c r="V22" s="37"/>
      <c r="W22" s="172"/>
      <c r="X22" s="173"/>
      <c r="Y22" s="173"/>
      <c r="Z22" s="173"/>
      <c r="AA22" s="173"/>
      <c r="AB22" s="173"/>
      <c r="AC22" s="174"/>
      <c r="AD22" s="173"/>
      <c r="AE22" s="173"/>
      <c r="AF22" s="173"/>
      <c r="AG22" s="173"/>
      <c r="AH22" s="173"/>
      <c r="AI22" s="172"/>
      <c r="AJ22" s="175"/>
      <c r="AK22" s="175"/>
      <c r="AL22" s="175"/>
      <c r="AM22" s="175"/>
      <c r="AN22" s="173"/>
      <c r="AO22" s="174"/>
      <c r="AP22" s="173"/>
      <c r="AQ22" s="173"/>
      <c r="AR22" s="37"/>
      <c r="AS22" s="37"/>
      <c r="AT22" s="37"/>
      <c r="AU22" s="75"/>
      <c r="AV22" s="37"/>
      <c r="AW22" s="37"/>
      <c r="AX22" s="37"/>
      <c r="AY22" s="37"/>
      <c r="AZ22" s="37"/>
      <c r="BA22" s="138"/>
      <c r="BB22" s="37"/>
      <c r="BC22" s="37"/>
      <c r="BD22" s="37"/>
      <c r="BE22" s="37"/>
      <c r="BF22" s="37"/>
      <c r="BG22" s="75"/>
      <c r="BH22" s="37"/>
      <c r="BI22" s="37"/>
      <c r="BJ22" s="37"/>
      <c r="BK22" s="37"/>
      <c r="BL22" s="37"/>
      <c r="BM22" s="38"/>
      <c r="BN22" s="176"/>
      <c r="BO22" s="175"/>
      <c r="BP22" s="175"/>
      <c r="BQ22" s="175"/>
      <c r="BR22" s="173"/>
      <c r="BS22" s="177"/>
      <c r="BT22" s="173"/>
      <c r="BU22" s="173"/>
      <c r="BV22" s="173"/>
      <c r="BW22" s="173"/>
      <c r="BX22" s="173"/>
      <c r="BY22" s="174"/>
      <c r="BZ22" s="173"/>
      <c r="CA22" s="173"/>
      <c r="CB22" s="173"/>
      <c r="CC22" s="173"/>
      <c r="CD22" s="173"/>
      <c r="CE22" s="172"/>
      <c r="CF22" s="173"/>
      <c r="CG22" s="173"/>
      <c r="CH22" s="173"/>
      <c r="CI22" s="173"/>
      <c r="CJ22" s="173"/>
      <c r="CK22" s="174"/>
      <c r="CL22" s="173"/>
      <c r="CM22" s="173"/>
      <c r="CN22" s="173"/>
      <c r="CO22" s="173"/>
      <c r="CP22" s="173"/>
      <c r="CQ22" s="172"/>
      <c r="CR22" s="175"/>
      <c r="CS22" s="175"/>
      <c r="CT22" s="175"/>
      <c r="CU22" s="175"/>
      <c r="CV22" s="173"/>
      <c r="CW22" s="174"/>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90"/>
    </row>
    <row r="23" spans="1:1566" ht="20.100000000000001" customHeight="1" x14ac:dyDescent="0.25">
      <c r="A23" s="100" t="s">
        <v>17</v>
      </c>
      <c r="B23" s="63" t="str">
        <f>IF(LEN(C31)=0,"",C31)</f>
        <v>REALISER - Création : Suppression des diacritiques</v>
      </c>
      <c r="C23" s="230" t="s">
        <v>67</v>
      </c>
      <c r="D23" s="146" t="str">
        <f t="shared" si="0"/>
        <v>3h10min</v>
      </c>
      <c r="E23" s="39">
        <v>38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197"/>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191"/>
      <c r="IO23" s="191"/>
      <c r="IP23" s="41"/>
      <c r="IQ23" s="134"/>
      <c r="IR23" s="41"/>
      <c r="IS23" s="41"/>
      <c r="IT23" s="41"/>
      <c r="IU23" s="41"/>
      <c r="IV23" s="41"/>
      <c r="IW23" s="139"/>
      <c r="IX23" s="41"/>
      <c r="IY23" s="41"/>
      <c r="IZ23" s="41"/>
      <c r="JA23" s="41"/>
      <c r="JB23" s="41"/>
      <c r="JC23" s="76"/>
      <c r="JD23" s="41"/>
      <c r="JE23" s="197"/>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97"/>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197"/>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191"/>
      <c r="NE23" s="66"/>
      <c r="NF23" s="41"/>
      <c r="NG23" s="134"/>
      <c r="NH23" s="41"/>
      <c r="NI23" s="41"/>
      <c r="NJ23" s="41"/>
      <c r="NK23" s="41"/>
      <c r="NL23" s="197"/>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191"/>
      <c r="RU23" s="191"/>
      <c r="RV23" s="41"/>
      <c r="RW23" s="134"/>
      <c r="RX23" s="41"/>
      <c r="RY23" s="41"/>
      <c r="RZ23" s="41"/>
      <c r="SA23" s="41"/>
      <c r="SB23" s="41"/>
      <c r="SC23" s="139"/>
      <c r="SD23" s="41"/>
      <c r="SE23" s="41"/>
      <c r="SF23" s="41"/>
      <c r="SG23" s="41"/>
      <c r="SH23" s="41"/>
      <c r="SI23" s="76"/>
      <c r="SJ23" s="41"/>
      <c r="SK23" s="41"/>
      <c r="SL23" s="41"/>
      <c r="SM23" s="41"/>
      <c r="SN23" s="41"/>
      <c r="SO23" s="139"/>
      <c r="SP23" s="197"/>
      <c r="SQ23" s="197"/>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197"/>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97"/>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191"/>
      <c r="ADI23" s="191"/>
      <c r="ADJ23" s="41"/>
      <c r="ADK23" s="134"/>
      <c r="ADL23" s="41"/>
      <c r="ADM23" s="41"/>
      <c r="ADN23" s="41"/>
      <c r="ADO23" s="41"/>
      <c r="ADP23" s="41"/>
      <c r="ADQ23" s="139"/>
      <c r="ADR23" s="41"/>
      <c r="ADS23" s="41"/>
      <c r="ADT23" s="41"/>
      <c r="ADU23" s="41"/>
      <c r="ADV23" s="41"/>
      <c r="ADW23" s="76"/>
      <c r="ADX23" s="197"/>
      <c r="ADY23" s="197"/>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191"/>
      <c r="AFQ23" s="191"/>
      <c r="AFR23" s="197"/>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200"/>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191"/>
      <c r="AKG23" s="191"/>
      <c r="AKH23" s="41"/>
      <c r="AKI23" s="134"/>
      <c r="AKJ23" s="41"/>
      <c r="AKK23" s="41"/>
      <c r="AKL23" s="41"/>
      <c r="AKM23" s="41"/>
      <c r="AKN23" s="41"/>
      <c r="AKO23" s="139"/>
      <c r="AKP23" s="41"/>
      <c r="AKQ23" s="41"/>
      <c r="AKR23" s="41"/>
      <c r="AKS23" s="41"/>
      <c r="AKT23" s="41"/>
      <c r="AKU23" s="76"/>
      <c r="AKV23" s="197"/>
      <c r="AKW23" s="197"/>
      <c r="AKX23" s="197"/>
      <c r="AKY23" s="197"/>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197"/>
      <c r="ANG23" s="197"/>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197"/>
      <c r="APQ23" s="198"/>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191"/>
      <c r="ARE23" s="191"/>
      <c r="ARF23" s="197"/>
      <c r="ARG23" s="199"/>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197"/>
      <c r="ASE23" s="200"/>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90"/>
    </row>
    <row r="24" spans="1:1566" ht="20.100000000000001" customHeight="1" x14ac:dyDescent="0.25">
      <c r="A24" s="100" t="s">
        <v>18</v>
      </c>
      <c r="B24" s="63" t="str">
        <f>IF(LEN(C33)=0,"",C33)</f>
        <v>REALISER - Création : Verification existance identifiant de login</v>
      </c>
      <c r="C24" s="231"/>
      <c r="D24" s="147" t="str">
        <f t="shared" si="0"/>
        <v>2h35min</v>
      </c>
      <c r="E24" s="27">
        <v>31</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169"/>
      <c r="GM24" s="29"/>
      <c r="GN24" s="29"/>
      <c r="GO24" s="136"/>
      <c r="GP24" s="29"/>
      <c r="GQ24" s="29"/>
      <c r="GR24" s="29"/>
      <c r="GS24" s="29"/>
      <c r="GT24" s="29"/>
      <c r="GU24" s="73"/>
      <c r="GV24" s="29"/>
      <c r="GW24" s="29"/>
      <c r="GX24" s="29"/>
      <c r="GY24" s="16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169"/>
      <c r="JA24" s="29"/>
      <c r="JB24" s="29"/>
      <c r="JC24" s="73"/>
      <c r="JD24" s="29"/>
      <c r="JE24" s="29"/>
      <c r="JF24" s="29"/>
      <c r="JG24" s="29"/>
      <c r="JH24" s="29"/>
      <c r="JI24" s="136"/>
      <c r="JJ24" s="169"/>
      <c r="JK24" s="169"/>
      <c r="JL24" s="16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169"/>
      <c r="KY24" s="131"/>
      <c r="KZ24" s="29"/>
      <c r="LA24" s="29"/>
      <c r="LB24" s="29"/>
      <c r="LC24" s="169"/>
      <c r="LD24" s="169"/>
      <c r="LE24" s="171"/>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16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168"/>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169"/>
      <c r="QF24" s="16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168"/>
      <c r="WK24" s="168"/>
      <c r="WL24" s="16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16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71"/>
      <c r="AIH24" s="29"/>
      <c r="AII24" s="29"/>
      <c r="AIJ24" s="29"/>
      <c r="AIK24" s="29"/>
      <c r="AIL24" s="169"/>
      <c r="AIM24" s="73"/>
      <c r="AIN24" s="29"/>
      <c r="AIO24" s="29"/>
      <c r="AIP24" s="29"/>
      <c r="AIQ24" s="169"/>
      <c r="AIR24" s="29"/>
      <c r="AIS24" s="136"/>
      <c r="AIT24" s="29"/>
      <c r="AIU24" s="29"/>
      <c r="AIV24" s="169"/>
      <c r="AIW24" s="16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168"/>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169"/>
      <c r="ALC24" s="16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16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168"/>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169"/>
      <c r="APH24" s="29"/>
      <c r="API24" s="29"/>
      <c r="APJ24" s="29"/>
      <c r="APK24" s="73"/>
      <c r="APL24" s="29"/>
      <c r="APM24" s="29"/>
      <c r="APN24" s="29"/>
      <c r="APO24" s="29"/>
      <c r="APP24" s="169"/>
      <c r="APQ24" s="136"/>
      <c r="APR24" s="29"/>
      <c r="APS24" s="29"/>
      <c r="APT24" s="29"/>
      <c r="APU24" s="29"/>
      <c r="APV24" s="29"/>
      <c r="APW24" s="73"/>
      <c r="APX24" s="67"/>
      <c r="APY24" s="67"/>
      <c r="APZ24" s="67"/>
      <c r="AQA24" s="67"/>
      <c r="AQB24" s="29"/>
      <c r="AQC24" s="171"/>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90"/>
    </row>
    <row r="25" spans="1:1566" ht="20.100000000000001" customHeight="1" x14ac:dyDescent="0.25">
      <c r="A25" s="100" t="s">
        <v>17</v>
      </c>
      <c r="B25" s="63" t="str">
        <f>IF(LEN(C35)=0,"",C35)</f>
        <v>REALISER - Création : Génération mot de passe</v>
      </c>
      <c r="C25" s="230" t="s">
        <v>47</v>
      </c>
      <c r="D25" s="146" t="str">
        <f t="shared" si="0"/>
        <v>1h45min</v>
      </c>
      <c r="E25" s="31">
        <v>21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193"/>
      <c r="VN25" s="193"/>
      <c r="VO25" s="196"/>
      <c r="VP25" s="193"/>
      <c r="VQ25" s="193"/>
      <c r="VR25" s="193"/>
      <c r="VS25" s="193"/>
      <c r="VT25" s="193"/>
      <c r="VU25" s="195"/>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193"/>
      <c r="XI25" s="193"/>
      <c r="XJ25" s="193"/>
      <c r="XK25" s="196"/>
      <c r="XL25" s="192"/>
      <c r="XM25" s="192"/>
      <c r="XN25" s="192"/>
      <c r="XO25" s="192"/>
      <c r="XP25" s="193"/>
      <c r="XQ25" s="195"/>
      <c r="XR25" s="193"/>
      <c r="XS25" s="19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90"/>
    </row>
    <row r="26" spans="1:1566" ht="20.100000000000001" customHeight="1" x14ac:dyDescent="0.3">
      <c r="A26" s="100" t="s">
        <v>18</v>
      </c>
      <c r="B26" s="63" t="str">
        <f>IF(LEN(C37)=0,"",C37)</f>
        <v>REALISER - Création : Script d'ouverture de session</v>
      </c>
      <c r="C26" s="231"/>
      <c r="D26" s="148" t="str">
        <f t="shared" si="0"/>
        <v>5h45min</v>
      </c>
      <c r="E26" s="35">
        <v>69</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77"/>
      <c r="WN26" s="173"/>
      <c r="WO26" s="173"/>
      <c r="WP26" s="173"/>
      <c r="WQ26" s="173"/>
      <c r="WR26" s="173"/>
      <c r="WS26" s="174"/>
      <c r="WT26" s="173"/>
      <c r="WU26" s="173"/>
      <c r="WV26" s="173"/>
      <c r="WW26" s="173"/>
      <c r="WX26" s="173"/>
      <c r="WY26" s="172"/>
      <c r="WZ26" s="173"/>
      <c r="XA26" s="173"/>
      <c r="XB26" s="173"/>
      <c r="XC26" s="173"/>
      <c r="XD26" s="173"/>
      <c r="XE26" s="174"/>
      <c r="XF26" s="173"/>
      <c r="XG26" s="173"/>
      <c r="XH26" s="173"/>
      <c r="XI26" s="173"/>
      <c r="XJ26" s="173"/>
      <c r="XK26" s="172"/>
      <c r="XL26" s="175"/>
      <c r="XM26" s="175"/>
      <c r="XN26" s="175"/>
      <c r="XO26" s="175"/>
      <c r="XP26" s="173"/>
      <c r="XQ26" s="174"/>
      <c r="XR26" s="173"/>
      <c r="XS26" s="173"/>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175"/>
      <c r="YS26" s="175"/>
      <c r="YT26" s="173"/>
      <c r="YU26" s="177"/>
      <c r="YV26" s="173"/>
      <c r="YW26" s="173"/>
      <c r="YX26" s="173"/>
      <c r="YY26" s="173"/>
      <c r="YZ26" s="173"/>
      <c r="ZA26" s="174"/>
      <c r="ZB26" s="173"/>
      <c r="ZC26" s="173"/>
      <c r="ZD26" s="173"/>
      <c r="ZE26" s="173"/>
      <c r="ZF26" s="173"/>
      <c r="ZG26" s="172"/>
      <c r="ZH26" s="173"/>
      <c r="ZI26" s="173"/>
      <c r="ZJ26" s="173"/>
      <c r="ZK26" s="173"/>
      <c r="ZL26" s="173"/>
      <c r="ZM26" s="174"/>
      <c r="ZN26" s="173"/>
      <c r="ZO26" s="173"/>
      <c r="ZP26" s="173"/>
      <c r="ZQ26" s="173"/>
      <c r="ZR26" s="173"/>
      <c r="ZS26" s="172"/>
      <c r="ZT26" s="17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175"/>
      <c r="AOX26" s="173"/>
      <c r="AOY26" s="177"/>
      <c r="AOZ26" s="173"/>
      <c r="APA26" s="173"/>
      <c r="APB26" s="173"/>
      <c r="APC26" s="173"/>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90"/>
    </row>
    <row r="27" spans="1:1566" ht="20.100000000000001" customHeight="1" x14ac:dyDescent="0.25">
      <c r="A27" s="100" t="s">
        <v>17</v>
      </c>
      <c r="B27" s="63" t="str">
        <f>IF(LEN(C39)=0,"",C39)</f>
        <v>REALISER - Création : Génération description</v>
      </c>
      <c r="C27" s="230" t="s">
        <v>48</v>
      </c>
      <c r="D27" s="146" t="str">
        <f t="shared" si="0"/>
        <v>0h45min</v>
      </c>
      <c r="E27" s="39">
        <v>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197"/>
      <c r="JG27" s="197"/>
      <c r="JH27" s="197"/>
      <c r="JI27" s="198"/>
      <c r="JJ27" s="197"/>
      <c r="JK27" s="197"/>
      <c r="JL27" s="197"/>
      <c r="JM27" s="197"/>
      <c r="JN27" s="197"/>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90"/>
    </row>
    <row r="28" spans="1:1566" ht="20.100000000000001" customHeight="1" x14ac:dyDescent="0.3">
      <c r="A28" s="100" t="s">
        <v>18</v>
      </c>
      <c r="B28" s="63" t="str">
        <f>IF(LEN(C41)=0,"",C41)</f>
        <v>REALISER - Création : Création HomeDirectory</v>
      </c>
      <c r="C28" s="231"/>
      <c r="D28" s="148" t="str">
        <f t="shared" si="0"/>
        <v>0h15min</v>
      </c>
      <c r="E28" s="27">
        <v>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169"/>
      <c r="JB28" s="169"/>
      <c r="JC28" s="205"/>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90"/>
    </row>
    <row r="29" spans="1:1566" ht="20.100000000000001" customHeight="1" x14ac:dyDescent="0.25">
      <c r="A29" s="100" t="s">
        <v>17</v>
      </c>
      <c r="B29" s="63" t="str">
        <f>IF(LEN(C43)=0,"",C43)</f>
        <v>REALISER - Création : Ajout dans les groupes</v>
      </c>
      <c r="C29" s="230" t="s">
        <v>112</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193"/>
      <c r="GR29" s="193"/>
      <c r="GS29" s="193"/>
      <c r="GT29" s="193"/>
      <c r="GU29" s="196"/>
      <c r="GV29" s="193"/>
      <c r="GW29" s="193"/>
      <c r="GX29" s="193"/>
      <c r="GY29" s="193"/>
      <c r="GZ29" s="193"/>
      <c r="HA29" s="195"/>
      <c r="HB29" s="193"/>
      <c r="HC29" s="193"/>
      <c r="HD29" s="193"/>
      <c r="HE29" s="193"/>
      <c r="HF29" s="193"/>
      <c r="HG29" s="196"/>
      <c r="HH29" s="192"/>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90"/>
    </row>
    <row r="30" spans="1:1566" ht="20.100000000000001" customHeight="1" x14ac:dyDescent="0.3">
      <c r="A30" s="100" t="s">
        <v>18</v>
      </c>
      <c r="B30" s="63" t="str">
        <f>IF(LEN(C45)=0,"",C45)</f>
        <v>REALISER - Création : Génération du CSV</v>
      </c>
      <c r="C30" s="231"/>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173"/>
      <c r="GN30" s="173"/>
      <c r="GO30" s="174"/>
      <c r="GP30" s="173"/>
      <c r="GQ30" s="173"/>
      <c r="GR30" s="173"/>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90"/>
    </row>
    <row r="31" spans="1:1566" ht="20.100000000000001" customHeight="1" x14ac:dyDescent="0.25">
      <c r="A31" s="100" t="s">
        <v>17</v>
      </c>
      <c r="B31" s="63" t="str">
        <f>IF(LEN(C47)=0,"",C47)</f>
        <v>REALISER - Modification : Intégration</v>
      </c>
      <c r="C31" s="230" t="s">
        <v>49</v>
      </c>
      <c r="D31" s="146" t="str">
        <f t="shared" si="0"/>
        <v>1h30min</v>
      </c>
      <c r="E31" s="39">
        <v>18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197"/>
      <c r="LJ31" s="197"/>
      <c r="LK31" s="200"/>
      <c r="LL31" s="197"/>
      <c r="LM31" s="197"/>
      <c r="LN31" s="197"/>
      <c r="LO31" s="197"/>
      <c r="LP31" s="197"/>
      <c r="LQ31" s="198"/>
      <c r="LR31" s="197"/>
      <c r="LS31" s="197"/>
      <c r="LT31" s="197"/>
      <c r="LU31" s="197"/>
      <c r="LV31" s="197"/>
      <c r="LW31" s="200"/>
      <c r="LX31" s="191"/>
      <c r="LY31" s="191"/>
      <c r="LZ31" s="191"/>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90"/>
    </row>
    <row r="32" spans="1:1566" ht="20.100000000000001" customHeight="1" x14ac:dyDescent="0.3">
      <c r="A32" s="100" t="s">
        <v>18</v>
      </c>
      <c r="B32" s="63" t="str">
        <f>IF(LEN(C49)=0,"",C49)</f>
        <v>REALISER - Modification : Recherche de l'utilisateur</v>
      </c>
      <c r="C32" s="231"/>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169"/>
      <c r="JN32" s="169"/>
      <c r="JO32" s="205"/>
      <c r="JP32" s="168"/>
      <c r="JQ32" s="168"/>
      <c r="JR32" s="168"/>
      <c r="JS32" s="168"/>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90"/>
    </row>
    <row r="33" spans="1:1566" ht="20.100000000000001" customHeight="1" x14ac:dyDescent="0.25">
      <c r="A33" s="100" t="s">
        <v>17</v>
      </c>
      <c r="B33" s="63" t="str">
        <f>IF(LEN(C51)=0,"",C51)</f>
        <v>REALISER - Modification : Modifications de l'utilisateur</v>
      </c>
      <c r="C33" s="230" t="s">
        <v>50</v>
      </c>
      <c r="D33" s="146" t="str">
        <f t="shared" si="0"/>
        <v>0h15min</v>
      </c>
      <c r="E33" s="31">
        <v>3</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193"/>
      <c r="MH33" s="193"/>
      <c r="MI33" s="196"/>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90"/>
    </row>
    <row r="34" spans="1:1566" ht="20.100000000000001" customHeight="1" x14ac:dyDescent="0.3">
      <c r="A34" s="100" t="s">
        <v>18</v>
      </c>
      <c r="B34" s="63" t="str">
        <f>IF(LEN(C53)=0,"",C53)</f>
        <v>REALISER - Modification : Génération du CSV</v>
      </c>
      <c r="C34" s="231"/>
      <c r="D34" s="148" t="str">
        <f t="shared" si="0"/>
        <v>0h10min</v>
      </c>
      <c r="E34" s="35">
        <v>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175"/>
      <c r="OJ34" s="173"/>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90"/>
    </row>
    <row r="35" spans="1:1566" ht="20.100000000000001" customHeight="1" x14ac:dyDescent="0.25">
      <c r="A35" s="100" t="s">
        <v>17</v>
      </c>
      <c r="B35" s="63" t="str">
        <f>IF(LEN(C55)=0,"",C55)</f>
        <v>REALISER - Suppression : Intégration</v>
      </c>
      <c r="C35" s="230" t="s">
        <v>51</v>
      </c>
      <c r="D35" s="146" t="str">
        <f t="shared" si="0"/>
        <v>0h45min</v>
      </c>
      <c r="E35" s="39">
        <v>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197"/>
      <c r="IQ35" s="199"/>
      <c r="IR35" s="197"/>
      <c r="IS35" s="197"/>
      <c r="IT35" s="197"/>
      <c r="IU35" s="197"/>
      <c r="IV35" s="197"/>
      <c r="IW35" s="198"/>
      <c r="IX35" s="197"/>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90"/>
    </row>
    <row r="36" spans="1:1566" ht="20.100000000000001" customHeight="1" x14ac:dyDescent="0.25">
      <c r="A36" s="100" t="s">
        <v>18</v>
      </c>
      <c r="B36" s="63" t="str">
        <f>IF(LEN(C57)=0,"",C57)</f>
        <v>REALISER - Suppression : Recherche de l'utilisateur</v>
      </c>
      <c r="C36" s="231"/>
      <c r="D36" s="147" t="str">
        <f t="shared" si="0"/>
        <v>0h50min</v>
      </c>
      <c r="E36" s="27">
        <v>10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169"/>
      <c r="HA36" s="171"/>
      <c r="HB36" s="169"/>
      <c r="HC36" s="169"/>
      <c r="HD36" s="169"/>
      <c r="HE36" s="169"/>
      <c r="HF36" s="169"/>
      <c r="HG36" s="205"/>
      <c r="HH36" s="168"/>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16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90"/>
    </row>
    <row r="37" spans="1:1566" ht="20.100000000000001" customHeight="1" x14ac:dyDescent="0.25">
      <c r="A37" s="100" t="s">
        <v>17</v>
      </c>
      <c r="B37" s="63" t="str">
        <f>IF(LEN(C59)=0,"",C59)</f>
        <v>REALISER - Suppression : Suppression de l'utilisateur</v>
      </c>
      <c r="C37" s="230" t="s">
        <v>52</v>
      </c>
      <c r="D37" s="146" t="str">
        <f t="shared" si="0"/>
        <v>2h</v>
      </c>
      <c r="E37" s="31">
        <v>24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193"/>
      <c r="SS37" s="193"/>
      <c r="ST37" s="193"/>
      <c r="SU37" s="196"/>
      <c r="SV37" s="192"/>
      <c r="SW37" s="192"/>
      <c r="SX37" s="192"/>
      <c r="SY37" s="192"/>
      <c r="SZ37" s="193"/>
      <c r="TA37" s="195"/>
      <c r="TB37" s="193"/>
      <c r="TC37" s="19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193"/>
      <c r="UO37" s="193"/>
      <c r="UP37" s="193"/>
      <c r="UQ37" s="196"/>
      <c r="UR37" s="193"/>
      <c r="US37" s="193"/>
      <c r="UT37" s="193"/>
      <c r="UU37" s="193"/>
      <c r="UV37" s="193"/>
      <c r="UW37" s="195"/>
      <c r="UX37" s="193"/>
      <c r="UY37" s="19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90"/>
    </row>
    <row r="38" spans="1:1566" ht="20.100000000000001" customHeight="1" x14ac:dyDescent="0.3">
      <c r="A38" s="100" t="s">
        <v>18</v>
      </c>
      <c r="B38" s="63" t="str">
        <f>IF(LEN(C61)=0,"",C61)</f>
        <v>REALISER - Suppression : Desactivation de l'utilisateur</v>
      </c>
      <c r="C38" s="231"/>
      <c r="D38" s="148" t="str">
        <f t="shared" si="0"/>
        <v>1h</v>
      </c>
      <c r="E38" s="35">
        <v>12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173"/>
      <c r="ML38" s="173"/>
      <c r="MM38" s="173"/>
      <c r="MN38" s="173"/>
      <c r="MO38" s="174"/>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173"/>
      <c r="NY38" s="174"/>
      <c r="NZ38" s="173"/>
      <c r="OA38" s="173"/>
      <c r="OB38" s="173"/>
      <c r="OC38" s="173"/>
      <c r="OD38" s="173"/>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90"/>
    </row>
    <row r="39" spans="1:1566" ht="20.100000000000001" customHeight="1" x14ac:dyDescent="0.25">
      <c r="A39" s="100" t="s">
        <v>17</v>
      </c>
      <c r="B39" s="63" t="str">
        <f>IF(LEN(C63)=0,"",C63)</f>
        <v>REALISER - Suppression : Suppression du HomeDirectory</v>
      </c>
      <c r="C39" s="230" t="s">
        <v>53</v>
      </c>
      <c r="D39" s="146" t="str">
        <f t="shared" si="0"/>
        <v>0h15min</v>
      </c>
      <c r="E39" s="39">
        <v>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191"/>
      <c r="NF39" s="197"/>
      <c r="NG39" s="199"/>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90"/>
    </row>
    <row r="40" spans="1:1566" ht="20.100000000000001" customHeight="1" x14ac:dyDescent="0.25">
      <c r="A40" s="100" t="s">
        <v>18</v>
      </c>
      <c r="B40" s="63" t="str">
        <f>IF(LEN(C65)=0,"",C65)</f>
        <v>REALISER - Suppression : Génération du CSV</v>
      </c>
      <c r="C40" s="231"/>
      <c r="D40" s="147" t="str">
        <f t="shared" si="0"/>
        <v>0h10min</v>
      </c>
      <c r="E40" s="27">
        <v>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70"/>
      <c r="KZ40" s="16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90"/>
    </row>
    <row r="41" spans="1:1566" ht="20.100000000000001" customHeight="1" x14ac:dyDescent="0.25">
      <c r="A41" s="100" t="s">
        <v>17</v>
      </c>
      <c r="B41" s="63" t="str">
        <f>IF(LEN(C67)=0,"",C67)</f>
        <v>TESTER : Test de la solution</v>
      </c>
      <c r="C41" s="230" t="s">
        <v>54</v>
      </c>
      <c r="D41" s="146" t="str">
        <f t="shared" si="0"/>
        <v>1h10min</v>
      </c>
      <c r="E41" s="31">
        <v>14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193"/>
      <c r="RW41" s="194"/>
      <c r="RX41" s="193"/>
      <c r="RY41" s="193"/>
      <c r="RZ41" s="193"/>
      <c r="SA41" s="193"/>
      <c r="SB41" s="193"/>
      <c r="SC41" s="195"/>
      <c r="SD41" s="193"/>
      <c r="SE41" s="193"/>
      <c r="SF41" s="193"/>
      <c r="SG41" s="193"/>
      <c r="SH41" s="193"/>
      <c r="SI41" s="196"/>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90"/>
    </row>
    <row r="42" spans="1:1566" ht="20.100000000000001" customHeight="1" x14ac:dyDescent="0.3">
      <c r="A42" s="100" t="s">
        <v>18</v>
      </c>
      <c r="B42" s="63" t="str">
        <f>IF(LEN(C69)=0,"",C69)</f>
        <v>EVALUER : Validation de la solution selon le CDC</v>
      </c>
      <c r="C42" s="231"/>
      <c r="D42" s="148" t="str">
        <f t="shared" si="0"/>
        <v>3h20min</v>
      </c>
      <c r="E42" s="35">
        <v>40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74"/>
      <c r="QH42" s="173"/>
      <c r="QI42" s="173"/>
      <c r="QJ42" s="173"/>
      <c r="QK42" s="173"/>
      <c r="QL42" s="173"/>
      <c r="QM42" s="172"/>
      <c r="QN42" s="175"/>
      <c r="QO42" s="175"/>
      <c r="QP42" s="175"/>
      <c r="QQ42" s="175"/>
      <c r="QR42" s="173"/>
      <c r="QS42" s="174"/>
      <c r="QT42" s="173"/>
      <c r="QU42" s="173"/>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173"/>
      <c r="UP42" s="173"/>
      <c r="UQ42" s="172"/>
      <c r="UR42" s="173"/>
      <c r="US42" s="173"/>
      <c r="UT42" s="173"/>
      <c r="UU42" s="173"/>
      <c r="UV42" s="173"/>
      <c r="UW42" s="174"/>
      <c r="UX42" s="173"/>
      <c r="UY42" s="173"/>
      <c r="UZ42" s="173"/>
      <c r="VA42" s="173"/>
      <c r="VB42" s="173"/>
      <c r="VC42" s="172"/>
      <c r="VD42" s="175"/>
      <c r="VE42" s="175"/>
      <c r="VF42" s="175"/>
      <c r="VG42" s="175"/>
      <c r="VH42" s="173"/>
      <c r="VI42" s="174"/>
      <c r="VJ42" s="173"/>
      <c r="VK42" s="173"/>
      <c r="VL42" s="173"/>
      <c r="VM42" s="173"/>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90"/>
    </row>
    <row r="43" spans="1:1566" ht="20.100000000000001" customHeight="1" x14ac:dyDescent="0.25">
      <c r="A43" s="100" t="s">
        <v>17</v>
      </c>
      <c r="B43" s="63" t="str">
        <f>IF(LEN(C71)=0,"",C71)</f>
        <v>Documentation - Journal de travail</v>
      </c>
      <c r="C43" s="230" t="s">
        <v>55</v>
      </c>
      <c r="D43" s="146" t="str">
        <f t="shared" si="0"/>
        <v>1h35min</v>
      </c>
      <c r="E43" s="31">
        <v>19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95"/>
      <c r="NN43" s="193"/>
      <c r="NO43" s="193"/>
      <c r="NP43" s="193"/>
      <c r="NQ43" s="193"/>
      <c r="NR43" s="193"/>
      <c r="NS43" s="196"/>
      <c r="NT43" s="193"/>
      <c r="NU43" s="193"/>
      <c r="NV43" s="193"/>
      <c r="NW43" s="193"/>
      <c r="NX43" s="193"/>
      <c r="NY43" s="195"/>
      <c r="NZ43" s="193"/>
      <c r="OA43" s="193"/>
      <c r="OB43" s="193"/>
      <c r="OC43" s="193"/>
      <c r="OD43" s="193"/>
      <c r="OE43" s="196"/>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90"/>
    </row>
    <row r="44" spans="1:1566" ht="20.100000000000001" customHeight="1" x14ac:dyDescent="0.3">
      <c r="A44" s="100" t="s">
        <v>18</v>
      </c>
      <c r="B44" s="63" t="str">
        <f>IF(LEN(C73)=0,"",C73)</f>
        <v>Documentation - Rapport</v>
      </c>
      <c r="C44" s="231"/>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173"/>
      <c r="LG44" s="173"/>
      <c r="LH44" s="173"/>
      <c r="LI44" s="173"/>
      <c r="LJ44" s="173"/>
      <c r="LK44" s="172"/>
      <c r="LL44" s="173"/>
      <c r="LM44" s="173"/>
      <c r="LN44" s="173"/>
      <c r="LO44" s="173"/>
      <c r="LP44" s="173"/>
      <c r="LQ44" s="174"/>
      <c r="LR44" s="173"/>
      <c r="LS44" s="173"/>
      <c r="LT44" s="173"/>
      <c r="LU44" s="173"/>
      <c r="LV44" s="173"/>
      <c r="LW44" s="172"/>
      <c r="LX44" s="175"/>
      <c r="LY44" s="175"/>
      <c r="LZ44" s="175"/>
      <c r="MA44" s="175"/>
      <c r="MB44" s="173"/>
      <c r="MC44" s="174"/>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90"/>
    </row>
    <row r="45" spans="1:1566" ht="20.100000000000001" customHeight="1" x14ac:dyDescent="0.25">
      <c r="A45" s="100" t="s">
        <v>17</v>
      </c>
      <c r="B45" s="63" t="str">
        <f>IF(LEN(C75)=0,"",C75)</f>
        <v>Documentation - Impression et rendu du TPI</v>
      </c>
      <c r="C45" s="230" t="s">
        <v>56</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197"/>
      <c r="ZJ45" s="197"/>
      <c r="ZK45" s="197"/>
      <c r="ZL45" s="197"/>
      <c r="ZM45" s="198"/>
      <c r="ZN45" s="197"/>
      <c r="ZO45" s="197"/>
      <c r="ZP45" s="197"/>
      <c r="ZQ45" s="197"/>
      <c r="ZR45" s="197"/>
      <c r="ZS45" s="200"/>
      <c r="ZT45" s="191"/>
      <c r="ZU45" s="191"/>
      <c r="ZV45" s="191"/>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90"/>
    </row>
    <row r="46" spans="1:1566" ht="20.100000000000001" customHeight="1" x14ac:dyDescent="0.25">
      <c r="A46" s="100" t="s">
        <v>18</v>
      </c>
      <c r="B46" s="63" t="str">
        <f>IF(LEN(C77)=0,"",C77)</f>
        <v/>
      </c>
      <c r="C46" s="231"/>
      <c r="D46" s="147" t="str">
        <f t="shared" si="0"/>
        <v>3h30min</v>
      </c>
      <c r="E46" s="35">
        <v>42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173"/>
      <c r="ABH46" s="173"/>
      <c r="ABI46" s="174"/>
      <c r="ABJ46" s="173"/>
      <c r="ABK46" s="173"/>
      <c r="ABL46" s="173"/>
      <c r="ABM46" s="173"/>
      <c r="ABN46" s="173"/>
      <c r="ABO46" s="172"/>
      <c r="ABP46" s="173"/>
      <c r="ABQ46" s="173"/>
      <c r="ABR46" s="173"/>
      <c r="ABS46" s="173"/>
      <c r="ABT46" s="173"/>
      <c r="ABU46" s="174"/>
      <c r="ABV46" s="173"/>
      <c r="ABW46" s="173"/>
      <c r="ABX46" s="173"/>
      <c r="ABY46" s="173"/>
      <c r="ABZ46" s="173"/>
      <c r="ACA46" s="172"/>
      <c r="ACB46" s="175"/>
      <c r="ACC46" s="175"/>
      <c r="ACD46" s="17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173"/>
      <c r="AMT46" s="173"/>
      <c r="AMU46" s="173"/>
      <c r="AMV46" s="173"/>
      <c r="AMW46" s="174"/>
      <c r="AMX46" s="173"/>
      <c r="AMY46" s="173"/>
      <c r="AMZ46" s="173"/>
      <c r="ANA46" s="173"/>
      <c r="ANB46" s="173"/>
      <c r="ANC46" s="172"/>
      <c r="AND46" s="173"/>
      <c r="ANE46" s="173"/>
      <c r="ANF46" s="173"/>
      <c r="ANG46" s="173"/>
      <c r="ANH46" s="173"/>
      <c r="ANI46" s="174"/>
      <c r="ANJ46" s="173"/>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90"/>
    </row>
    <row r="47" spans="1:1566" ht="20.100000000000001" customHeight="1" x14ac:dyDescent="0.25">
      <c r="A47" s="100" t="s">
        <v>17</v>
      </c>
      <c r="B47" s="63" t="str">
        <f>IF(LEN(C79)=0,"",C79)</f>
        <v/>
      </c>
      <c r="C47" s="230" t="s">
        <v>57</v>
      </c>
      <c r="D47" s="146" t="str">
        <f t="shared" si="0"/>
        <v>1h50min</v>
      </c>
      <c r="E47" s="39">
        <v>22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99"/>
      <c r="AFT47" s="197"/>
      <c r="AFU47" s="197"/>
      <c r="AFV47" s="197"/>
      <c r="AFW47" s="197"/>
      <c r="AFX47" s="197"/>
      <c r="AFY47" s="198"/>
      <c r="AFZ47" s="197"/>
      <c r="AGA47" s="197"/>
      <c r="AGB47" s="197"/>
      <c r="AGC47" s="197"/>
      <c r="AGD47" s="197"/>
      <c r="AGE47" s="200"/>
      <c r="AGF47" s="197"/>
      <c r="AGG47" s="197"/>
      <c r="AGH47" s="197"/>
      <c r="AGI47" s="197"/>
      <c r="AGJ47" s="197"/>
      <c r="AGK47" s="198"/>
      <c r="AGL47" s="197"/>
      <c r="AGM47" s="197"/>
      <c r="AGN47" s="197"/>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90"/>
    </row>
    <row r="48" spans="1:1566" ht="20.100000000000001" customHeight="1" x14ac:dyDescent="0.3">
      <c r="A48" s="100" t="s">
        <v>18</v>
      </c>
      <c r="B48" s="63" t="str">
        <f>IF(LEN(C81)=0,"",C81)</f>
        <v/>
      </c>
      <c r="C48" s="231"/>
      <c r="D48" s="148" t="str">
        <f t="shared" si="0"/>
        <v>0h20min</v>
      </c>
      <c r="E48" s="27">
        <v>4</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71"/>
      <c r="APR48" s="169"/>
      <c r="APS48" s="169"/>
      <c r="APT48" s="16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90"/>
    </row>
    <row r="49" spans="1:1566" ht="20.100000000000001" customHeight="1" x14ac:dyDescent="0.25">
      <c r="A49" s="100" t="s">
        <v>17</v>
      </c>
      <c r="B49" s="63" t="str">
        <f>IF(LEN(C83)=0,"",C83)</f>
        <v/>
      </c>
      <c r="C49" s="230" t="s">
        <v>58</v>
      </c>
      <c r="D49" s="146" t="str">
        <f t="shared" si="0"/>
        <v>0h40min</v>
      </c>
      <c r="E49" s="31">
        <v>8</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193"/>
      <c r="ADK49" s="194"/>
      <c r="ADL49" s="193"/>
      <c r="ADM49" s="193"/>
      <c r="ADN49" s="193"/>
      <c r="ADO49" s="193"/>
      <c r="ADP49" s="193"/>
      <c r="ADQ49" s="195"/>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90"/>
    </row>
    <row r="50" spans="1:1566" ht="20.100000000000001" customHeight="1" x14ac:dyDescent="0.3">
      <c r="A50" s="100" t="s">
        <v>18</v>
      </c>
      <c r="B50" s="63" t="str">
        <f>IF(LEN(C85)=0,"",C85)</f>
        <v/>
      </c>
      <c r="C50" s="23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90"/>
    </row>
    <row r="51" spans="1:1566" ht="20.100000000000001" customHeight="1" x14ac:dyDescent="0.25">
      <c r="A51" s="100" t="s">
        <v>17</v>
      </c>
      <c r="B51" s="63" t="str">
        <f>IF(LEN(C87)=0,"",C87)</f>
        <v/>
      </c>
      <c r="C51" s="230" t="s">
        <v>59</v>
      </c>
      <c r="D51" s="146" t="str">
        <f t="shared" si="0"/>
        <v>1h30min</v>
      </c>
      <c r="E51" s="39">
        <v>18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197"/>
      <c r="AEA51" s="197"/>
      <c r="AEB51" s="197"/>
      <c r="AEC51" s="198"/>
      <c r="AED51" s="197"/>
      <c r="AEE51" s="197"/>
      <c r="AEF51" s="197"/>
      <c r="AEG51" s="197"/>
      <c r="AEH51" s="197"/>
      <c r="AEI51" s="200"/>
      <c r="AEJ51" s="191"/>
      <c r="AEK51" s="191"/>
      <c r="AEL51" s="191"/>
      <c r="AEM51" s="191"/>
      <c r="AEN51" s="197"/>
      <c r="AEO51" s="198"/>
      <c r="AEP51" s="197"/>
      <c r="AEQ51" s="197"/>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90"/>
    </row>
    <row r="52" spans="1:1566" ht="20.100000000000001" customHeight="1" x14ac:dyDescent="0.25">
      <c r="A52" s="100" t="s">
        <v>18</v>
      </c>
      <c r="B52" s="63" t="str">
        <f>IF(LEN(C89)=0,"",C89)</f>
        <v/>
      </c>
      <c r="C52" s="231"/>
      <c r="D52" s="147" t="str">
        <f t="shared" si="0"/>
        <v>0h15min</v>
      </c>
      <c r="E52" s="27">
        <v>3</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169"/>
      <c r="API52" s="169"/>
      <c r="APJ52" s="16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90"/>
    </row>
    <row r="53" spans="1:1566" ht="20.100000000000001" customHeight="1" x14ac:dyDescent="0.25">
      <c r="A53" s="100" t="s">
        <v>17</v>
      </c>
      <c r="B53" s="63" t="str">
        <f>IF(LEN(C91)=0,"",C91)</f>
        <v/>
      </c>
      <c r="C53" s="230" t="s">
        <v>60</v>
      </c>
      <c r="D53" s="146" t="str">
        <f t="shared" si="0"/>
        <v>0h20min</v>
      </c>
      <c r="E53" s="31">
        <v>4</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192"/>
      <c r="AJA53" s="192"/>
      <c r="AJB53" s="192"/>
      <c r="AJC53" s="192"/>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90"/>
    </row>
    <row r="54" spans="1:1566" ht="20.100000000000001" customHeight="1" x14ac:dyDescent="0.3">
      <c r="A54" s="100" t="s">
        <v>18</v>
      </c>
      <c r="B54" s="63" t="str">
        <f>IF(LEN(C93)=0,"",C93)</f>
        <v/>
      </c>
      <c r="C54" s="231"/>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173"/>
      <c r="AQE54" s="173"/>
      <c r="AQF54" s="173"/>
      <c r="AQG54" s="173"/>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90"/>
    </row>
    <row r="55" spans="1:1566" ht="20.100000000000001" customHeight="1" x14ac:dyDescent="0.25">
      <c r="A55" s="100" t="s">
        <v>17</v>
      </c>
      <c r="B55" s="63"/>
      <c r="C55" s="230" t="s">
        <v>61</v>
      </c>
      <c r="D55" s="146" t="str">
        <f t="shared" si="0"/>
        <v>1h</v>
      </c>
      <c r="E55" s="39">
        <v>12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197"/>
      <c r="ARI55" s="197"/>
      <c r="ARJ55" s="197"/>
      <c r="ARK55" s="197"/>
      <c r="ARL55" s="197"/>
      <c r="ARM55" s="198"/>
      <c r="ARN55" s="197"/>
      <c r="ARO55" s="197"/>
      <c r="ARP55" s="197"/>
      <c r="ARQ55" s="197"/>
      <c r="ARR55" s="197"/>
      <c r="ARS55" s="200"/>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90"/>
    </row>
    <row r="56" spans="1:1566" ht="20.100000000000001" customHeight="1" x14ac:dyDescent="0.25">
      <c r="A56" s="100" t="s">
        <v>18</v>
      </c>
      <c r="B56" s="63"/>
      <c r="C56" s="231"/>
      <c r="D56" s="147" t="str">
        <f t="shared" si="0"/>
        <v>1h</v>
      </c>
      <c r="E56" s="27">
        <v>12</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168"/>
      <c r="AKH56" s="169"/>
      <c r="AKI56" s="170"/>
      <c r="AKJ56" s="169"/>
      <c r="AKK56" s="169"/>
      <c r="AKL56" s="169"/>
      <c r="AKM56" s="169"/>
      <c r="AKN56" s="169"/>
      <c r="AKO56" s="171"/>
      <c r="AKP56" s="169"/>
      <c r="AKQ56" s="169"/>
      <c r="AKR56" s="16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90"/>
    </row>
    <row r="57" spans="1:1566" ht="20.100000000000001" customHeight="1" x14ac:dyDescent="0.25">
      <c r="A57" s="100" t="s">
        <v>17</v>
      </c>
      <c r="B57" s="63"/>
      <c r="C57" s="230" t="s">
        <v>62</v>
      </c>
      <c r="D57" s="146" t="str">
        <f t="shared" si="0"/>
        <v>0h40min</v>
      </c>
      <c r="E57" s="31">
        <v>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193"/>
      <c r="AKI57" s="194"/>
      <c r="AKJ57" s="193"/>
      <c r="AKK57" s="193"/>
      <c r="AKL57" s="193"/>
      <c r="AKM57" s="193"/>
      <c r="AKN57" s="193"/>
      <c r="AKO57" s="195"/>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90"/>
    </row>
    <row r="58" spans="1:1566" ht="20.100000000000001" customHeight="1" x14ac:dyDescent="0.3">
      <c r="A58" s="100" t="s">
        <v>18</v>
      </c>
      <c r="B58" s="63"/>
      <c r="C58" s="231"/>
      <c r="D58" s="148" t="str">
        <f t="shared" si="0"/>
        <v>0h10min</v>
      </c>
      <c r="E58" s="35">
        <v>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173"/>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173"/>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90"/>
    </row>
    <row r="59" spans="1:1566" ht="20.100000000000001" customHeight="1" x14ac:dyDescent="0.25">
      <c r="A59" s="100" t="s">
        <v>17</v>
      </c>
      <c r="B59" s="63"/>
      <c r="C59" s="230" t="s">
        <v>63</v>
      </c>
      <c r="D59" s="146" t="str">
        <f t="shared" si="0"/>
        <v>1h30min</v>
      </c>
      <c r="E59" s="31">
        <v>18</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197"/>
      <c r="ALA59" s="198"/>
      <c r="ALB59" s="197"/>
      <c r="ALC59" s="197"/>
      <c r="ALD59" s="197"/>
      <c r="ALE59" s="197"/>
      <c r="ALF59" s="197"/>
      <c r="ALG59" s="200"/>
      <c r="ALH59" s="191"/>
      <c r="ALI59" s="191"/>
      <c r="ALJ59" s="191"/>
      <c r="ALK59" s="191"/>
      <c r="ALL59" s="197"/>
      <c r="ALM59" s="198"/>
      <c r="ALN59" s="197"/>
      <c r="ALO59" s="197"/>
      <c r="ALP59" s="197"/>
      <c r="ALQ59" s="197"/>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90"/>
    </row>
    <row r="60" spans="1:1566" ht="20.100000000000001" customHeight="1" x14ac:dyDescent="0.3">
      <c r="A60" s="100" t="s">
        <v>18</v>
      </c>
      <c r="B60" s="63"/>
      <c r="C60" s="231"/>
      <c r="D60" s="148" t="str">
        <f t="shared" si="0"/>
        <v>0h10min</v>
      </c>
      <c r="E60" s="35">
        <v>2</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205"/>
      <c r="AIN60" s="16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90"/>
    </row>
    <row r="61" spans="1:1566" ht="20.100000000000001" customHeight="1" x14ac:dyDescent="0.25">
      <c r="A61" s="100" t="s">
        <v>17</v>
      </c>
      <c r="B61" s="63"/>
      <c r="C61" s="230" t="s">
        <v>64</v>
      </c>
      <c r="D61" s="146" t="str">
        <f t="shared" si="0"/>
        <v>0h50min</v>
      </c>
      <c r="E61" s="39">
        <v>10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193"/>
      <c r="ANI61" s="195"/>
      <c r="ANJ61" s="193"/>
      <c r="ANK61" s="193"/>
      <c r="ANL61" s="193"/>
      <c r="ANM61" s="193"/>
      <c r="ANN61" s="193"/>
      <c r="ANO61" s="196"/>
      <c r="ANP61" s="192"/>
      <c r="ANQ61" s="192"/>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90"/>
    </row>
    <row r="62" spans="1:1566" ht="20.100000000000001" customHeight="1" x14ac:dyDescent="0.25">
      <c r="A62" s="100" t="s">
        <v>18</v>
      </c>
      <c r="B62" s="63"/>
      <c r="C62" s="231"/>
      <c r="D62" s="147" t="str">
        <f t="shared" si="0"/>
        <v>0h10min</v>
      </c>
      <c r="E62" s="102">
        <v>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173"/>
      <c r="AIS62" s="174"/>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90"/>
    </row>
    <row r="63" spans="1:1566" ht="20.100000000000001" customHeight="1" x14ac:dyDescent="0.25">
      <c r="A63" s="100" t="s">
        <v>17</v>
      </c>
      <c r="B63" s="63"/>
      <c r="C63" s="230" t="s">
        <v>65</v>
      </c>
      <c r="D63" s="146" t="str">
        <f t="shared" si="0"/>
        <v>1h30min</v>
      </c>
      <c r="E63" s="39">
        <v>18</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197"/>
      <c r="APS63" s="197"/>
      <c r="APT63" s="197"/>
      <c r="APU63" s="197"/>
      <c r="APV63" s="197"/>
      <c r="APW63" s="200"/>
      <c r="APX63" s="191"/>
      <c r="APY63" s="191"/>
      <c r="APZ63" s="191"/>
      <c r="AQA63" s="191"/>
      <c r="AQB63" s="197"/>
      <c r="AQC63" s="198"/>
      <c r="AQD63" s="197"/>
      <c r="AQE63" s="197"/>
      <c r="AQF63" s="197"/>
      <c r="AQG63" s="197"/>
      <c r="AQH63" s="197"/>
      <c r="AQI63" s="200"/>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90"/>
    </row>
    <row r="64" spans="1:1566" ht="20.100000000000001" customHeight="1" x14ac:dyDescent="0.3">
      <c r="A64" s="100" t="s">
        <v>18</v>
      </c>
      <c r="B64" s="63"/>
      <c r="C64" s="231"/>
      <c r="D64" s="148" t="str">
        <f t="shared" si="0"/>
        <v>0h30min</v>
      </c>
      <c r="E64" s="27">
        <v>6</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169"/>
      <c r="AIY64" s="205"/>
      <c r="AIZ64" s="168"/>
      <c r="AJA64" s="168"/>
      <c r="AJB64" s="168"/>
      <c r="AJC64" s="168"/>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90"/>
    </row>
    <row r="65" spans="1:1566" ht="20.100000000000001" customHeight="1" x14ac:dyDescent="0.25">
      <c r="A65" s="100" t="s">
        <v>17</v>
      </c>
      <c r="B65" s="63"/>
      <c r="C65" s="230" t="s">
        <v>66</v>
      </c>
      <c r="D65" s="146" t="str">
        <f t="shared" si="0"/>
        <v>0h20min</v>
      </c>
      <c r="E65" s="31">
        <v>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192"/>
      <c r="ASG65" s="192"/>
      <c r="ASH65" s="192"/>
      <c r="ASI65" s="192"/>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90"/>
    </row>
    <row r="66" spans="1:1566" ht="20.100000000000001" customHeight="1" x14ac:dyDescent="0.3">
      <c r="A66" s="100" t="s">
        <v>18</v>
      </c>
      <c r="B66" s="63"/>
      <c r="C66" s="231"/>
      <c r="D66" s="148" t="str">
        <f t="shared" si="0"/>
        <v>1h25min</v>
      </c>
      <c r="E66" s="35">
        <v>17</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173"/>
      <c r="ALE66" s="173"/>
      <c r="ALF66" s="173"/>
      <c r="ALG66" s="172"/>
      <c r="ALH66" s="175"/>
      <c r="ALI66" s="175"/>
      <c r="ALJ66" s="175"/>
      <c r="ALK66" s="175"/>
      <c r="ALL66" s="173"/>
      <c r="ALM66" s="174"/>
      <c r="ALN66" s="173"/>
      <c r="ALO66" s="173"/>
      <c r="ALP66" s="173"/>
      <c r="ALQ66" s="173"/>
      <c r="ALR66" s="173"/>
      <c r="ALS66" s="172"/>
      <c r="ALT66" s="173"/>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90"/>
    </row>
    <row r="67" spans="1:1566" ht="20.100000000000001" customHeight="1" x14ac:dyDescent="0.25">
      <c r="A67" s="100" t="s">
        <v>17</v>
      </c>
      <c r="B67" s="63"/>
      <c r="C67" s="230" t="s">
        <v>42</v>
      </c>
      <c r="D67" s="146" t="str">
        <f t="shared" si="0"/>
        <v>8h55min</v>
      </c>
      <c r="E67" s="39">
        <v>107</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191"/>
      <c r="HJ67" s="191"/>
      <c r="HK67" s="191"/>
      <c r="HL67" s="197"/>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197"/>
      <c r="IZ67" s="197"/>
      <c r="JA67" s="197"/>
      <c r="JB67" s="197"/>
      <c r="JC67" s="76"/>
      <c r="JD67" s="41"/>
      <c r="JE67" s="41"/>
      <c r="JF67" s="41"/>
      <c r="JG67" s="41"/>
      <c r="JH67" s="41"/>
      <c r="JI67" s="139"/>
      <c r="JJ67" s="41"/>
      <c r="JK67" s="41"/>
      <c r="JL67" s="41"/>
      <c r="JM67" s="41"/>
      <c r="JN67" s="41"/>
      <c r="JO67" s="200"/>
      <c r="JP67" s="191"/>
      <c r="JQ67" s="191"/>
      <c r="JR67" s="191"/>
      <c r="JS67" s="191"/>
      <c r="JT67" s="197"/>
      <c r="JU67" s="198"/>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191"/>
      <c r="MB67" s="197"/>
      <c r="MC67" s="198"/>
      <c r="MD67" s="197"/>
      <c r="ME67" s="41"/>
      <c r="MF67" s="41"/>
      <c r="MG67" s="41"/>
      <c r="MH67" s="41"/>
      <c r="MI67" s="76"/>
      <c r="MJ67" s="197"/>
      <c r="MK67" s="197"/>
      <c r="ML67" s="197"/>
      <c r="MM67" s="197"/>
      <c r="MN67" s="197"/>
      <c r="MO67" s="139"/>
      <c r="MP67" s="41"/>
      <c r="MQ67" s="41"/>
      <c r="MR67" s="41"/>
      <c r="MS67" s="41"/>
      <c r="MT67" s="41"/>
      <c r="MU67" s="76"/>
      <c r="MV67" s="41"/>
      <c r="MW67" s="41"/>
      <c r="MX67" s="41"/>
      <c r="MY67" s="41"/>
      <c r="MZ67" s="41"/>
      <c r="NA67" s="42"/>
      <c r="NB67" s="40"/>
      <c r="NC67" s="66"/>
      <c r="ND67" s="66"/>
      <c r="NE67" s="66"/>
      <c r="NF67" s="41"/>
      <c r="NG67" s="134"/>
      <c r="NH67" s="197"/>
      <c r="NI67" s="197"/>
      <c r="NJ67" s="197"/>
      <c r="NK67" s="41"/>
      <c r="NL67" s="41"/>
      <c r="NM67" s="139"/>
      <c r="NN67" s="41"/>
      <c r="NO67" s="41"/>
      <c r="NP67" s="41"/>
      <c r="NQ67" s="41"/>
      <c r="NR67" s="41"/>
      <c r="NS67" s="76"/>
      <c r="NT67" s="41"/>
      <c r="NU67" s="41"/>
      <c r="NV67" s="41"/>
      <c r="NW67" s="41"/>
      <c r="NX67" s="41"/>
      <c r="NY67" s="139"/>
      <c r="NZ67" s="41"/>
      <c r="OA67" s="41"/>
      <c r="OB67" s="41"/>
      <c r="OC67" s="41"/>
      <c r="OD67" s="41"/>
      <c r="OE67" s="76"/>
      <c r="OF67" s="191"/>
      <c r="OG67" s="191"/>
      <c r="OH67" s="191"/>
      <c r="OI67" s="191"/>
      <c r="OJ67" s="197"/>
      <c r="OK67" s="198"/>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197"/>
      <c r="SK67" s="197"/>
      <c r="SL67" s="197"/>
      <c r="SM67" s="197"/>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197"/>
      <c r="VA67" s="197"/>
      <c r="VB67" s="197"/>
      <c r="VC67" s="200"/>
      <c r="VD67" s="191"/>
      <c r="VE67" s="191"/>
      <c r="VF67" s="191"/>
      <c r="VG67" s="191"/>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191"/>
      <c r="YS67" s="191"/>
      <c r="YT67" s="197"/>
      <c r="YU67" s="199"/>
      <c r="YV67" s="197"/>
      <c r="YW67" s="197"/>
      <c r="YX67" s="197"/>
      <c r="YY67" s="197"/>
      <c r="YZ67" s="197"/>
      <c r="ZA67" s="198"/>
      <c r="ZB67" s="197"/>
      <c r="ZC67" s="197"/>
      <c r="ZD67" s="41"/>
      <c r="ZE67" s="41"/>
      <c r="ZF67" s="41"/>
      <c r="ZG67" s="76"/>
      <c r="ZH67" s="41"/>
      <c r="ZI67" s="41"/>
      <c r="ZJ67" s="41"/>
      <c r="ZK67" s="41"/>
      <c r="ZL67" s="41"/>
      <c r="ZM67" s="139"/>
      <c r="ZN67" s="41"/>
      <c r="ZO67" s="41"/>
      <c r="ZP67" s="41"/>
      <c r="ZQ67" s="41"/>
      <c r="ZR67" s="41"/>
      <c r="ZS67" s="76"/>
      <c r="ZT67" s="66"/>
      <c r="ZU67" s="66"/>
      <c r="ZV67" s="66"/>
      <c r="ZW67" s="191"/>
      <c r="ZX67" s="197"/>
      <c r="ZY67" s="198"/>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197"/>
      <c r="ADS67" s="197"/>
      <c r="ADT67" s="197"/>
      <c r="ADU67" s="197"/>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197"/>
      <c r="AES67" s="197"/>
      <c r="AET67" s="197"/>
      <c r="AEU67" s="200"/>
      <c r="AEV67" s="197"/>
      <c r="AEW67" s="197"/>
      <c r="AEX67" s="197"/>
      <c r="AEY67" s="197"/>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197"/>
      <c r="AGP67" s="197"/>
      <c r="AGQ67" s="200"/>
      <c r="AGR67" s="191"/>
      <c r="AGS67" s="191"/>
      <c r="AGT67" s="191"/>
      <c r="AGU67" s="191"/>
      <c r="AGV67" s="197"/>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197"/>
      <c r="AJE67" s="198"/>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197"/>
      <c r="AKQ67" s="197"/>
      <c r="AKR67" s="197"/>
      <c r="AKS67" s="197"/>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197"/>
      <c r="ALS67" s="200"/>
      <c r="ALT67" s="197"/>
      <c r="ALU67" s="197"/>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191"/>
      <c r="ANS67" s="191"/>
      <c r="ANT67" s="197"/>
      <c r="ANU67" s="198"/>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197"/>
      <c r="AQK67" s="197"/>
      <c r="AQL67" s="197"/>
      <c r="AQM67" s="197"/>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197"/>
      <c r="ARU67" s="197"/>
      <c r="ARV67" s="197"/>
      <c r="ARW67" s="197"/>
      <c r="ARX67" s="197"/>
      <c r="ARY67" s="198"/>
      <c r="ARZ67" s="197"/>
      <c r="ASA67" s="41"/>
      <c r="ASB67" s="41"/>
      <c r="ASC67" s="41"/>
      <c r="ASD67" s="41"/>
      <c r="ASE67" s="76"/>
      <c r="ASF67" s="66"/>
      <c r="ASG67" s="66"/>
      <c r="ASH67" s="66"/>
      <c r="ASI67" s="66"/>
      <c r="ASJ67" s="197"/>
      <c r="ASK67" s="198"/>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90"/>
    </row>
    <row r="68" spans="1:1566" ht="20.100000000000001" customHeight="1" x14ac:dyDescent="0.25">
      <c r="A68" s="100" t="s">
        <v>18</v>
      </c>
      <c r="B68" s="63"/>
      <c r="C68" s="231"/>
      <c r="D68" s="147" t="str">
        <f t="shared" si="0"/>
        <v>7h</v>
      </c>
      <c r="E68" s="27">
        <v>84</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169"/>
      <c r="GT68" s="169"/>
      <c r="GU68" s="205"/>
      <c r="GV68" s="169"/>
      <c r="GW68" s="29"/>
      <c r="GX68" s="29"/>
      <c r="GY68" s="29"/>
      <c r="GZ68" s="29"/>
      <c r="HA68" s="136"/>
      <c r="HB68" s="29"/>
      <c r="HC68" s="29"/>
      <c r="HD68" s="29"/>
      <c r="HE68" s="29"/>
      <c r="HF68" s="29"/>
      <c r="HG68" s="73"/>
      <c r="HH68" s="67"/>
      <c r="HI68" s="168"/>
      <c r="HJ68" s="168"/>
      <c r="HK68" s="168"/>
      <c r="HL68" s="169"/>
      <c r="HM68" s="171"/>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169"/>
      <c r="JE68" s="169"/>
      <c r="JF68" s="169"/>
      <c r="JG68" s="29"/>
      <c r="JH68" s="29"/>
      <c r="JI68" s="171"/>
      <c r="JJ68" s="29"/>
      <c r="JK68" s="29"/>
      <c r="JL68" s="29"/>
      <c r="JM68" s="29"/>
      <c r="JN68" s="29"/>
      <c r="JO68" s="73"/>
      <c r="JP68" s="67"/>
      <c r="JQ68" s="67"/>
      <c r="JR68" s="67"/>
      <c r="JS68" s="67"/>
      <c r="JT68" s="169"/>
      <c r="JU68" s="171"/>
      <c r="JV68" s="16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16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169"/>
      <c r="ME68" s="169"/>
      <c r="MF68" s="169"/>
      <c r="MG68" s="16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205"/>
      <c r="OF68" s="168"/>
      <c r="OG68" s="67"/>
      <c r="OH68" s="67"/>
      <c r="OI68" s="67"/>
      <c r="OJ68" s="29"/>
      <c r="OK68" s="171"/>
      <c r="OL68" s="16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169"/>
      <c r="VO68" s="205"/>
      <c r="VP68" s="169"/>
      <c r="VQ68" s="169"/>
      <c r="VR68" s="169"/>
      <c r="VS68" s="16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168"/>
      <c r="ZV68" s="168"/>
      <c r="ZW68" s="168"/>
      <c r="ZX68" s="169"/>
      <c r="ZY68" s="171"/>
      <c r="ZZ68" s="169"/>
      <c r="AAA68" s="16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168"/>
      <c r="ACF68" s="169"/>
      <c r="ACG68" s="171"/>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169"/>
      <c r="AIJ68" s="29"/>
      <c r="AIK68" s="29"/>
      <c r="AIL68" s="29"/>
      <c r="AIM68" s="73"/>
      <c r="AIN68" s="29"/>
      <c r="AIO68" s="169"/>
      <c r="AIP68" s="29"/>
      <c r="AIQ68" s="29"/>
      <c r="AIR68" s="29"/>
      <c r="AIS68" s="136"/>
      <c r="AIT68" s="169"/>
      <c r="AIU68" s="29"/>
      <c r="AIV68" s="29"/>
      <c r="AIW68" s="29"/>
      <c r="AIX68" s="29"/>
      <c r="AIY68" s="73"/>
      <c r="AIZ68" s="67"/>
      <c r="AJA68" s="67"/>
      <c r="AJB68" s="67"/>
      <c r="AJC68" s="67"/>
      <c r="AJD68" s="169"/>
      <c r="AJE68" s="171"/>
      <c r="AJF68" s="16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169"/>
      <c r="AKT68" s="169"/>
      <c r="AKU68" s="205"/>
      <c r="AKV68" s="169"/>
      <c r="AKW68" s="169"/>
      <c r="AKX68" s="169"/>
      <c r="AKY68" s="16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169"/>
      <c r="ALV68" s="169"/>
      <c r="ALW68" s="16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169"/>
      <c r="ANL68" s="169"/>
      <c r="ANM68" s="169"/>
      <c r="ANN68" s="169"/>
      <c r="ANO68" s="205"/>
      <c r="ANP68" s="168"/>
      <c r="ANQ68" s="168"/>
      <c r="ANR68" s="67"/>
      <c r="ANS68" s="67"/>
      <c r="ANT68" s="29"/>
      <c r="ANU68" s="171"/>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169"/>
      <c r="APE68" s="171"/>
      <c r="APF68" s="29"/>
      <c r="APG68" s="29"/>
      <c r="APH68" s="29"/>
      <c r="API68" s="29"/>
      <c r="APJ68" s="29"/>
      <c r="APK68" s="205"/>
      <c r="APL68" s="169"/>
      <c r="APM68" s="169"/>
      <c r="APN68" s="169"/>
      <c r="APO68" s="29"/>
      <c r="APP68" s="29"/>
      <c r="APQ68" s="136"/>
      <c r="APR68" s="29"/>
      <c r="APS68" s="29"/>
      <c r="APT68" s="29"/>
      <c r="APU68" s="169"/>
      <c r="APV68" s="169"/>
      <c r="APW68" s="205"/>
      <c r="APX68" s="168"/>
      <c r="APY68" s="168"/>
      <c r="APZ68" s="168"/>
      <c r="AQA68" s="67"/>
      <c r="AQB68" s="29"/>
      <c r="AQC68" s="136"/>
      <c r="AQD68" s="29"/>
      <c r="AQE68" s="29"/>
      <c r="AQF68" s="29"/>
      <c r="AQG68" s="29"/>
      <c r="AQH68" s="169"/>
      <c r="AQI68" s="205"/>
      <c r="AQJ68" s="169"/>
      <c r="AQK68" s="169"/>
      <c r="AQL68" s="169"/>
      <c r="AQM68" s="169"/>
      <c r="AQN68" s="16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90"/>
    </row>
    <row r="69" spans="1:1566" ht="20.100000000000001" customHeight="1" x14ac:dyDescent="0.25">
      <c r="A69" s="100" t="s">
        <v>17</v>
      </c>
      <c r="B69" s="63"/>
      <c r="C69" s="230" t="s">
        <v>68</v>
      </c>
      <c r="D69" s="146" t="str">
        <f t="shared" si="0"/>
        <v>4h</v>
      </c>
      <c r="E69" s="31">
        <v>48</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95"/>
      <c r="HN69" s="193"/>
      <c r="HO69" s="19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196"/>
      <c r="JD69" s="193"/>
      <c r="JE69" s="33"/>
      <c r="JF69" s="33"/>
      <c r="JG69" s="33"/>
      <c r="JH69" s="33"/>
      <c r="JI69" s="137"/>
      <c r="JJ69" s="33"/>
      <c r="JK69" s="33"/>
      <c r="JL69" s="33"/>
      <c r="JM69" s="33"/>
      <c r="JN69" s="33"/>
      <c r="JO69" s="74"/>
      <c r="JP69" s="64"/>
      <c r="JQ69" s="64"/>
      <c r="JR69" s="64"/>
      <c r="JS69" s="64"/>
      <c r="JT69" s="33"/>
      <c r="JU69" s="137"/>
      <c r="JV69" s="193"/>
      <c r="JW69" s="19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193"/>
      <c r="MF69" s="33"/>
      <c r="MG69" s="33"/>
      <c r="MH69" s="33"/>
      <c r="MI69" s="74"/>
      <c r="MJ69" s="33"/>
      <c r="MK69" s="33"/>
      <c r="ML69" s="33"/>
      <c r="MM69" s="33"/>
      <c r="MN69" s="33"/>
      <c r="MO69" s="195"/>
      <c r="MP69" s="33"/>
      <c r="MQ69" s="33"/>
      <c r="MR69" s="33"/>
      <c r="MS69" s="33"/>
      <c r="MT69" s="33"/>
      <c r="MU69" s="74"/>
      <c r="MV69" s="33"/>
      <c r="MW69" s="33"/>
      <c r="MX69" s="33"/>
      <c r="MY69" s="33"/>
      <c r="MZ69" s="33"/>
      <c r="NA69" s="34"/>
      <c r="NB69" s="32"/>
      <c r="NC69" s="64"/>
      <c r="ND69" s="64"/>
      <c r="NE69" s="64"/>
      <c r="NF69" s="33"/>
      <c r="NG69" s="132"/>
      <c r="NH69" s="33"/>
      <c r="NI69" s="33"/>
      <c r="NJ69" s="33"/>
      <c r="NK69" s="19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193"/>
      <c r="OM69" s="19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193"/>
      <c r="SO69" s="195"/>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193"/>
      <c r="VI69" s="195"/>
      <c r="VJ69" s="193"/>
      <c r="VK69" s="19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193"/>
      <c r="ZE69" s="193"/>
      <c r="ZF69" s="193"/>
      <c r="ZG69" s="196"/>
      <c r="ZH69" s="33"/>
      <c r="ZI69" s="33"/>
      <c r="ZJ69" s="33"/>
      <c r="ZK69" s="33"/>
      <c r="ZL69" s="33"/>
      <c r="ZM69" s="137"/>
      <c r="ZN69" s="33"/>
      <c r="ZO69" s="33"/>
      <c r="ZP69" s="33"/>
      <c r="ZQ69" s="33"/>
      <c r="ZR69" s="33"/>
      <c r="ZS69" s="74"/>
      <c r="ZT69" s="64"/>
      <c r="ZU69" s="64"/>
      <c r="ZV69" s="64"/>
      <c r="ZW69" s="64"/>
      <c r="ZX69" s="33"/>
      <c r="ZY69" s="137"/>
      <c r="ZZ69" s="193"/>
      <c r="AAA69" s="19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193"/>
      <c r="ADW69" s="196"/>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193"/>
      <c r="AFA69" s="195"/>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95"/>
      <c r="AGX69" s="193"/>
      <c r="AGY69" s="19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193"/>
      <c r="AJG69" s="19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193"/>
      <c r="AKU69" s="196"/>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193"/>
      <c r="ALW69" s="193"/>
      <c r="ALX69" s="193"/>
      <c r="ALY69" s="195"/>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193"/>
      <c r="ANW69" s="19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193"/>
      <c r="AQO69" s="195"/>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193"/>
      <c r="ASB69" s="193"/>
      <c r="ASC69" s="193"/>
      <c r="ASD69" s="33"/>
      <c r="ASE69" s="74"/>
      <c r="ASF69" s="64"/>
      <c r="ASG69" s="64"/>
      <c r="ASH69" s="64"/>
      <c r="ASI69" s="64"/>
      <c r="ASJ69" s="33"/>
      <c r="ASK69" s="137"/>
      <c r="ASL69" s="193"/>
      <c r="ASM69" s="19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90"/>
    </row>
    <row r="70" spans="1:1566" ht="20.100000000000001" customHeight="1" x14ac:dyDescent="0.3">
      <c r="A70" s="100" t="s">
        <v>18</v>
      </c>
      <c r="B70" s="63"/>
      <c r="C70" s="231"/>
      <c r="D70" s="148" t="str">
        <f t="shared" si="0"/>
        <v>2h50min</v>
      </c>
      <c r="E70" s="35">
        <v>34</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173"/>
      <c r="GX70" s="173"/>
      <c r="GY70" s="37"/>
      <c r="GZ70" s="37"/>
      <c r="HA70" s="138"/>
      <c r="HB70" s="37"/>
      <c r="HC70" s="37"/>
      <c r="HD70" s="37"/>
      <c r="HE70" s="37"/>
      <c r="HF70" s="37"/>
      <c r="HG70" s="75"/>
      <c r="HH70" s="65"/>
      <c r="HI70" s="65"/>
      <c r="HJ70" s="65"/>
      <c r="HK70" s="65"/>
      <c r="HL70" s="37"/>
      <c r="HM70" s="138"/>
      <c r="HN70" s="173"/>
      <c r="HO70" s="173"/>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173"/>
      <c r="JH70" s="37"/>
      <c r="JI70" s="138"/>
      <c r="JJ70" s="37"/>
      <c r="JK70" s="37"/>
      <c r="JL70" s="37"/>
      <c r="JM70" s="37"/>
      <c r="JN70" s="37"/>
      <c r="JO70" s="75"/>
      <c r="JP70" s="65"/>
      <c r="JQ70" s="65"/>
      <c r="JR70" s="65"/>
      <c r="JS70" s="65"/>
      <c r="JT70" s="37"/>
      <c r="JU70" s="138"/>
      <c r="JV70" s="37"/>
      <c r="JW70" s="173"/>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173"/>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173"/>
      <c r="MI70" s="172"/>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175"/>
      <c r="OH70" s="65"/>
      <c r="OI70" s="65"/>
      <c r="OJ70" s="37"/>
      <c r="OK70" s="138"/>
      <c r="OL70" s="37"/>
      <c r="OM70" s="173"/>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173"/>
      <c r="VU70" s="174"/>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173"/>
      <c r="ABE70" s="173"/>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173"/>
      <c r="ACI70" s="173"/>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173"/>
      <c r="AIK70" s="173"/>
      <c r="AIL70" s="37"/>
      <c r="AIM70" s="75"/>
      <c r="AIN70" s="37"/>
      <c r="AIO70" s="37"/>
      <c r="AIP70" s="173"/>
      <c r="AIQ70" s="37"/>
      <c r="AIR70" s="37"/>
      <c r="AIS70" s="138"/>
      <c r="AIT70" s="37"/>
      <c r="AIU70" s="173"/>
      <c r="AIV70" s="37"/>
      <c r="AIW70" s="37"/>
      <c r="AIX70" s="37"/>
      <c r="AIY70" s="75"/>
      <c r="AIZ70" s="65"/>
      <c r="AJA70" s="65"/>
      <c r="AJB70" s="65"/>
      <c r="AJC70" s="65"/>
      <c r="AJD70" s="37"/>
      <c r="AJE70" s="138"/>
      <c r="AJF70" s="37"/>
      <c r="AJG70" s="173"/>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173"/>
      <c r="ALA70" s="174"/>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173"/>
      <c r="ALY70" s="174"/>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175"/>
      <c r="ANS70" s="65"/>
      <c r="ANT70" s="37"/>
      <c r="ANU70" s="138"/>
      <c r="ANV70" s="173"/>
      <c r="ANW70" s="173"/>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173"/>
      <c r="APG70" s="37"/>
      <c r="APH70" s="37"/>
      <c r="API70" s="37"/>
      <c r="APJ70" s="37"/>
      <c r="APK70" s="75"/>
      <c r="APL70" s="37"/>
      <c r="APM70" s="37"/>
      <c r="APN70" s="37"/>
      <c r="APO70" s="173"/>
      <c r="APP70" s="37"/>
      <c r="APQ70" s="138"/>
      <c r="APR70" s="37"/>
      <c r="APS70" s="37"/>
      <c r="APT70" s="37"/>
      <c r="APU70" s="37"/>
      <c r="APV70" s="37"/>
      <c r="APW70" s="75"/>
      <c r="APX70" s="65"/>
      <c r="APY70" s="65"/>
      <c r="APZ70" s="65"/>
      <c r="AQA70" s="175"/>
      <c r="AQB70" s="173"/>
      <c r="AQC70" s="138"/>
      <c r="AQD70" s="37"/>
      <c r="AQE70" s="37"/>
      <c r="AQF70" s="37"/>
      <c r="AQG70" s="37"/>
      <c r="AQH70" s="37"/>
      <c r="AQI70" s="75"/>
      <c r="AQJ70" s="37"/>
      <c r="AQK70" s="37"/>
      <c r="AQL70" s="37"/>
      <c r="AQM70" s="37"/>
      <c r="AQN70" s="37"/>
      <c r="AQO70" s="174"/>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90"/>
    </row>
    <row r="71" spans="1:1566" ht="20.100000000000001" customHeight="1" x14ac:dyDescent="0.25">
      <c r="A71" s="100" t="s">
        <v>17</v>
      </c>
      <c r="B71" s="63"/>
      <c r="C71" s="232" t="s">
        <v>44</v>
      </c>
      <c r="D71" s="146" t="str">
        <f t="shared" si="0"/>
        <v>4h</v>
      </c>
      <c r="E71" s="39">
        <v>48</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190"/>
      <c r="DW71" s="191"/>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190"/>
      <c r="GE71" s="191"/>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190"/>
      <c r="IM71" s="191"/>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190"/>
      <c r="KU71" s="191"/>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190"/>
      <c r="NC71" s="191"/>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190"/>
      <c r="PK71" s="191"/>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190"/>
      <c r="RS71" s="191"/>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190"/>
      <c r="UA71" s="191"/>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190"/>
      <c r="WI71" s="191"/>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190"/>
      <c r="YQ71" s="191"/>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190"/>
      <c r="AAY71" s="191"/>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190"/>
      <c r="ADG71" s="191"/>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190"/>
      <c r="AFO71" s="191"/>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190"/>
      <c r="AHW71" s="191"/>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190"/>
      <c r="AKE71" s="191"/>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190"/>
      <c r="AMM71" s="191"/>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190"/>
      <c r="AOU71" s="191"/>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190"/>
      <c r="ARC71" s="191"/>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190"/>
      <c r="ATK71" s="191"/>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190"/>
      <c r="AVS71" s="191"/>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190"/>
      <c r="AYA71" s="191"/>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90"/>
      <c r="BAI71" s="191"/>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190"/>
      <c r="BCQ71" s="191"/>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190"/>
      <c r="BEY71" s="191"/>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90"/>
    </row>
    <row r="72" spans="1:1566" ht="20.100000000000001" customHeight="1" x14ac:dyDescent="0.25">
      <c r="A72" s="100" t="s">
        <v>18</v>
      </c>
      <c r="B72" s="63"/>
      <c r="C72" s="233"/>
      <c r="D72" s="147" t="str">
        <f t="shared" si="0"/>
        <v>2h55min</v>
      </c>
      <c r="E72" s="27">
        <v>35</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167"/>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167"/>
      <c r="GE72" s="168"/>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167"/>
      <c r="IM72" s="168"/>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167"/>
      <c r="KU72" s="168"/>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167"/>
      <c r="NC72" s="168"/>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167"/>
      <c r="PK72" s="168"/>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167"/>
      <c r="RS72" s="168"/>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167"/>
      <c r="UA72" s="168"/>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167"/>
      <c r="WI72" s="168"/>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167"/>
      <c r="YQ72" s="168"/>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167"/>
      <c r="AAY72" s="168"/>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167"/>
      <c r="ADG72" s="168"/>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167"/>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167"/>
      <c r="AHW72" s="168"/>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167"/>
      <c r="AKE72" s="168"/>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167"/>
      <c r="AMM72" s="168"/>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167"/>
      <c r="AOU72" s="168"/>
      <c r="AOV72" s="168"/>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167"/>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167"/>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90"/>
    </row>
    <row r="73" spans="1:1566" ht="20.100000000000001" customHeight="1" x14ac:dyDescent="0.25">
      <c r="A73" s="100" t="s">
        <v>17</v>
      </c>
      <c r="B73" s="63"/>
      <c r="C73" s="232" t="s">
        <v>45</v>
      </c>
      <c r="D73" s="146" t="str">
        <f t="shared" si="0"/>
        <v>29h10min</v>
      </c>
      <c r="E73" s="31">
        <v>350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192"/>
      <c r="DY73" s="192"/>
      <c r="DZ73" s="193"/>
      <c r="EA73" s="194"/>
      <c r="EB73" s="193"/>
      <c r="EC73" s="193"/>
      <c r="ED73" s="193"/>
      <c r="EE73" s="193"/>
      <c r="EF73" s="193"/>
      <c r="EG73" s="195"/>
      <c r="EH73" s="193"/>
      <c r="EI73" s="193"/>
      <c r="EJ73" s="193"/>
      <c r="EK73" s="193"/>
      <c r="EL73" s="193"/>
      <c r="EM73" s="196"/>
      <c r="EN73" s="193"/>
      <c r="EO73" s="193"/>
      <c r="EP73" s="193"/>
      <c r="EQ73" s="193"/>
      <c r="ER73" s="193"/>
      <c r="ES73" s="195"/>
      <c r="ET73" s="19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192"/>
      <c r="GG73" s="192"/>
      <c r="GH73" s="193"/>
      <c r="GI73" s="194"/>
      <c r="GJ73" s="193"/>
      <c r="GK73" s="193"/>
      <c r="GL73" s="193"/>
      <c r="GM73" s="193"/>
      <c r="GN73" s="193"/>
      <c r="GO73" s="195"/>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192"/>
      <c r="KW73" s="192"/>
      <c r="KX73" s="193"/>
      <c r="KY73" s="194"/>
      <c r="KZ73" s="193"/>
      <c r="LA73" s="193"/>
      <c r="LB73" s="193"/>
      <c r="LC73" s="193"/>
      <c r="LD73" s="193"/>
      <c r="LE73" s="195"/>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192"/>
      <c r="PM73" s="192"/>
      <c r="PN73" s="193"/>
      <c r="PO73" s="194"/>
      <c r="PP73" s="193"/>
      <c r="PQ73" s="193"/>
      <c r="PR73" s="193"/>
      <c r="PS73" s="193"/>
      <c r="PT73" s="193"/>
      <c r="PU73" s="195"/>
      <c r="PV73" s="193"/>
      <c r="PW73" s="193"/>
      <c r="PX73" s="193"/>
      <c r="PY73" s="193"/>
      <c r="PZ73" s="193"/>
      <c r="QA73" s="196"/>
      <c r="QB73" s="193"/>
      <c r="QC73" s="193"/>
      <c r="QD73" s="193"/>
      <c r="QE73" s="193"/>
      <c r="QF73" s="193"/>
      <c r="QG73" s="195"/>
      <c r="QH73" s="193"/>
      <c r="QI73" s="193"/>
      <c r="QJ73" s="193"/>
      <c r="QK73" s="193"/>
      <c r="QL73" s="193"/>
      <c r="QM73" s="196"/>
      <c r="QN73" s="192"/>
      <c r="QO73" s="192"/>
      <c r="QP73" s="192"/>
      <c r="QQ73" s="192"/>
      <c r="QR73" s="193"/>
      <c r="QS73" s="195"/>
      <c r="QT73" s="193"/>
      <c r="QU73" s="19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192"/>
      <c r="UC73" s="192"/>
      <c r="UD73" s="193"/>
      <c r="UE73" s="194"/>
      <c r="UF73" s="193"/>
      <c r="UG73" s="193"/>
      <c r="UH73" s="193"/>
      <c r="UI73" s="193"/>
      <c r="UJ73" s="193"/>
      <c r="UK73" s="195"/>
      <c r="UL73" s="193"/>
      <c r="UM73" s="19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192"/>
      <c r="WK73" s="192"/>
      <c r="WL73" s="193"/>
      <c r="WM73" s="194"/>
      <c r="WN73" s="193"/>
      <c r="WO73" s="193"/>
      <c r="WP73" s="193"/>
      <c r="WQ73" s="193"/>
      <c r="WR73" s="193"/>
      <c r="WS73" s="195"/>
      <c r="WT73" s="193"/>
      <c r="WU73" s="193"/>
      <c r="WV73" s="193"/>
      <c r="WW73" s="193"/>
      <c r="WX73" s="193"/>
      <c r="WY73" s="196"/>
      <c r="WZ73" s="193"/>
      <c r="XA73" s="193"/>
      <c r="XB73" s="193"/>
      <c r="XC73" s="193"/>
      <c r="XD73" s="193"/>
      <c r="XE73" s="195"/>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192"/>
      <c r="ABA73" s="192"/>
      <c r="ABB73" s="193"/>
      <c r="ABC73" s="194"/>
      <c r="ABD73" s="193"/>
      <c r="ABE73" s="193"/>
      <c r="ABF73" s="193"/>
      <c r="ABG73" s="193"/>
      <c r="ABH73" s="193"/>
      <c r="ABI73" s="195"/>
      <c r="ABJ73" s="193"/>
      <c r="ABK73" s="193"/>
      <c r="ABL73" s="193"/>
      <c r="ABM73" s="193"/>
      <c r="ABN73" s="193"/>
      <c r="ABO73" s="196"/>
      <c r="ABP73" s="193"/>
      <c r="ABQ73" s="193"/>
      <c r="ABR73" s="193"/>
      <c r="ABS73" s="193"/>
      <c r="ABT73" s="193"/>
      <c r="ABU73" s="195"/>
      <c r="ABV73" s="193"/>
      <c r="ABW73" s="193"/>
      <c r="ABX73" s="193"/>
      <c r="ABY73" s="193"/>
      <c r="ABZ73" s="193"/>
      <c r="ACA73" s="196"/>
      <c r="ACB73" s="192"/>
      <c r="ACC73" s="192"/>
      <c r="ACD73" s="192"/>
      <c r="ACE73" s="192"/>
      <c r="ACF73" s="193"/>
      <c r="ACG73" s="195"/>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192"/>
      <c r="AHY73" s="192"/>
      <c r="AHZ73" s="193"/>
      <c r="AIA73" s="194"/>
      <c r="AIB73" s="193"/>
      <c r="AIC73" s="193"/>
      <c r="AID73" s="193"/>
      <c r="AIE73" s="193"/>
      <c r="AIF73" s="193"/>
      <c r="AIG73" s="195"/>
      <c r="AIH73" s="193"/>
      <c r="AII73" s="193"/>
      <c r="AIJ73" s="193"/>
      <c r="AIK73" s="193"/>
      <c r="AIL73" s="193"/>
      <c r="AIM73" s="196"/>
      <c r="AIN73" s="193"/>
      <c r="AIO73" s="193"/>
      <c r="AIP73" s="193"/>
      <c r="AIQ73" s="193"/>
      <c r="AIR73" s="193"/>
      <c r="AIS73" s="195"/>
      <c r="AIT73" s="193"/>
      <c r="AIU73" s="193"/>
      <c r="AIV73" s="193"/>
      <c r="AIW73" s="193"/>
      <c r="AIX73" s="19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192"/>
      <c r="AMO73" s="192"/>
      <c r="AMP73" s="193"/>
      <c r="AMQ73" s="194"/>
      <c r="AMR73" s="193"/>
      <c r="AMS73" s="193"/>
      <c r="AMT73" s="193"/>
      <c r="AMU73" s="193"/>
      <c r="AMV73" s="193"/>
      <c r="AMW73" s="195"/>
      <c r="AMX73" s="193"/>
      <c r="AMY73" s="193"/>
      <c r="AMZ73" s="193"/>
      <c r="ANA73" s="193"/>
      <c r="ANB73" s="193"/>
      <c r="ANC73" s="196"/>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192"/>
      <c r="AOW73" s="192"/>
      <c r="AOX73" s="193"/>
      <c r="AOY73" s="194"/>
      <c r="AOZ73" s="193"/>
      <c r="APA73" s="193"/>
      <c r="APB73" s="193"/>
      <c r="APC73" s="193"/>
      <c r="APD73" s="193"/>
      <c r="APE73" s="195"/>
      <c r="APF73" s="193"/>
      <c r="APG73" s="193"/>
      <c r="APH73" s="193"/>
      <c r="API73" s="193"/>
      <c r="APJ73" s="193"/>
      <c r="APK73" s="196"/>
      <c r="APL73" s="193"/>
      <c r="APM73" s="193"/>
      <c r="APN73" s="193"/>
      <c r="APO73" s="19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193"/>
      <c r="AUA73" s="196"/>
      <c r="AUB73" s="193"/>
      <c r="AUC73" s="193"/>
      <c r="AUD73" s="193"/>
      <c r="AUE73" s="193"/>
      <c r="AUF73" s="193"/>
      <c r="AUG73" s="195"/>
      <c r="AUH73" s="193"/>
      <c r="AUI73" s="193"/>
      <c r="AUJ73" s="193"/>
      <c r="AUK73" s="193"/>
      <c r="AUL73" s="193"/>
      <c r="AUM73" s="196"/>
      <c r="AUN73" s="192"/>
      <c r="AUO73" s="192"/>
      <c r="AUP73" s="192"/>
      <c r="AUQ73" s="192"/>
      <c r="AUR73" s="193"/>
      <c r="AUS73" s="195"/>
      <c r="AUT73" s="193"/>
      <c r="AUU73" s="193"/>
      <c r="AUV73" s="193"/>
      <c r="AUW73" s="193"/>
      <c r="AUX73" s="193"/>
      <c r="AUY73" s="196"/>
      <c r="AUZ73" s="193"/>
      <c r="AVA73" s="193"/>
      <c r="AVB73" s="193"/>
      <c r="AVC73" s="193"/>
      <c r="AVD73" s="193"/>
      <c r="AVE73" s="195"/>
      <c r="AVF73" s="33"/>
      <c r="AVG73" s="33"/>
      <c r="AVH73" s="33"/>
      <c r="AVI73" s="33"/>
      <c r="AVJ73" s="33"/>
      <c r="AVK73" s="74"/>
      <c r="AVL73" s="33"/>
      <c r="AVM73" s="33"/>
      <c r="AVN73" s="33"/>
      <c r="AVO73" s="33"/>
      <c r="AVP73" s="33"/>
      <c r="AVQ73" s="34"/>
      <c r="AVR73" s="32"/>
      <c r="AVS73" s="64"/>
      <c r="AVT73" s="192"/>
      <c r="AVU73" s="192"/>
      <c r="AVV73" s="193"/>
      <c r="AVW73" s="194"/>
      <c r="AVX73" s="193"/>
      <c r="AVY73" s="193"/>
      <c r="AVZ73" s="193"/>
      <c r="AWA73" s="193"/>
      <c r="AWB73" s="193"/>
      <c r="AWC73" s="195"/>
      <c r="AWD73" s="193"/>
      <c r="AWE73" s="193"/>
      <c r="AWF73" s="193"/>
      <c r="AWG73" s="193"/>
      <c r="AWH73" s="193"/>
      <c r="AWI73" s="196"/>
      <c r="AWJ73" s="193"/>
      <c r="AWK73" s="193"/>
      <c r="AWL73" s="193"/>
      <c r="AWM73" s="193"/>
      <c r="AWN73" s="193"/>
      <c r="AWO73" s="195"/>
      <c r="AWP73" s="193"/>
      <c r="AWQ73" s="193"/>
      <c r="AWR73" s="193"/>
      <c r="AWS73" s="193"/>
      <c r="AWT73" s="193"/>
      <c r="AWU73" s="196"/>
      <c r="AWV73" s="192"/>
      <c r="AWW73" s="192"/>
      <c r="AWX73" s="192"/>
      <c r="AWY73" s="192"/>
      <c r="AWZ73" s="193"/>
      <c r="AXA73" s="195"/>
      <c r="AXB73" s="193"/>
      <c r="AXC73" s="19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192"/>
      <c r="AYC73" s="192"/>
      <c r="AYD73" s="193"/>
      <c r="AYE73" s="194"/>
      <c r="AYF73" s="193"/>
      <c r="AYG73" s="193"/>
      <c r="AYH73" s="193"/>
      <c r="AYI73" s="193"/>
      <c r="AYJ73" s="193"/>
      <c r="AYK73" s="195"/>
      <c r="AYL73" s="193"/>
      <c r="AYM73" s="193"/>
      <c r="AYN73" s="193"/>
      <c r="AYO73" s="193"/>
      <c r="AYP73" s="193"/>
      <c r="AYQ73" s="196"/>
      <c r="AYR73" s="193"/>
      <c r="AYS73" s="193"/>
      <c r="AYT73" s="193"/>
      <c r="AYU73" s="193"/>
      <c r="AYV73" s="193"/>
      <c r="AYW73" s="195"/>
      <c r="AYX73" s="193"/>
      <c r="AYY73" s="193"/>
      <c r="AYZ73" s="193"/>
      <c r="AZA73" s="193"/>
      <c r="AZB73" s="193"/>
      <c r="AZC73" s="196"/>
      <c r="AZD73" s="192"/>
      <c r="AZE73" s="192"/>
      <c r="AZF73" s="192"/>
      <c r="AZG73" s="192"/>
      <c r="AZH73" s="193"/>
      <c r="AZI73" s="195"/>
      <c r="AZJ73" s="193"/>
      <c r="AZK73" s="19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192"/>
      <c r="BAK73" s="192"/>
      <c r="BAL73" s="193"/>
      <c r="BAM73" s="194"/>
      <c r="BAN73" s="193"/>
      <c r="BAO73" s="193"/>
      <c r="BAP73" s="193"/>
      <c r="BAQ73" s="193"/>
      <c r="BAR73" s="193"/>
      <c r="BAS73" s="195"/>
      <c r="BAT73" s="193"/>
      <c r="BAU73" s="193"/>
      <c r="BAV73" s="193"/>
      <c r="BAW73" s="193"/>
      <c r="BAX73" s="193"/>
      <c r="BAY73" s="196"/>
      <c r="BAZ73" s="193"/>
      <c r="BBA73" s="193"/>
      <c r="BBB73" s="193"/>
      <c r="BBC73" s="193"/>
      <c r="BBD73" s="193"/>
      <c r="BBE73" s="195"/>
      <c r="BBF73" s="193"/>
      <c r="BBG73" s="193"/>
      <c r="BBH73" s="193"/>
      <c r="BBI73" s="193"/>
      <c r="BBJ73" s="193"/>
      <c r="BBK73" s="196"/>
      <c r="BBL73" s="192"/>
      <c r="BBM73" s="192"/>
      <c r="BBN73" s="192"/>
      <c r="BBO73" s="192"/>
      <c r="BBP73" s="193"/>
      <c r="BBQ73" s="195"/>
      <c r="BBR73" s="193"/>
      <c r="BBS73" s="19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90"/>
    </row>
    <row r="74" spans="1:1566" ht="20.100000000000001" customHeight="1" x14ac:dyDescent="0.3">
      <c r="A74" s="100" t="s">
        <v>18</v>
      </c>
      <c r="B74" s="63"/>
      <c r="C74" s="234"/>
      <c r="D74" s="148" t="str">
        <f t="shared" si="0"/>
        <v>25h20min</v>
      </c>
      <c r="E74" s="35">
        <v>304</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175"/>
      <c r="DX74" s="175"/>
      <c r="DY74" s="175"/>
      <c r="DZ74" s="173"/>
      <c r="EA74" s="177"/>
      <c r="EB74" s="173"/>
      <c r="EC74" s="173"/>
      <c r="ED74" s="173"/>
      <c r="EE74" s="173"/>
      <c r="EF74" s="173"/>
      <c r="EG74" s="174"/>
      <c r="EH74" s="173"/>
      <c r="EI74" s="173"/>
      <c r="EJ74" s="173"/>
      <c r="EK74" s="173"/>
      <c r="EL74" s="173"/>
      <c r="EM74" s="172"/>
      <c r="EN74" s="173"/>
      <c r="EO74" s="173"/>
      <c r="EP74" s="173"/>
      <c r="EQ74" s="173"/>
      <c r="ER74" s="173"/>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175"/>
      <c r="GG74" s="175"/>
      <c r="GH74" s="173"/>
      <c r="GI74" s="177"/>
      <c r="GJ74" s="173"/>
      <c r="GK74" s="173"/>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175"/>
      <c r="IO74" s="175"/>
      <c r="IP74" s="173"/>
      <c r="IQ74" s="177"/>
      <c r="IR74" s="173"/>
      <c r="IS74" s="173"/>
      <c r="IT74" s="173"/>
      <c r="IU74" s="173"/>
      <c r="IV74" s="173"/>
      <c r="IW74" s="174"/>
      <c r="IX74" s="173"/>
      <c r="IY74" s="173"/>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175"/>
      <c r="NE74" s="175"/>
      <c r="NF74" s="173"/>
      <c r="NG74" s="177"/>
      <c r="NH74" s="173"/>
      <c r="NI74" s="173"/>
      <c r="NJ74" s="173"/>
      <c r="NK74" s="173"/>
      <c r="NL74" s="173"/>
      <c r="NM74" s="174"/>
      <c r="NN74" s="173"/>
      <c r="NO74" s="173"/>
      <c r="NP74" s="173"/>
      <c r="NQ74" s="173"/>
      <c r="NR74" s="173"/>
      <c r="NS74" s="172"/>
      <c r="NT74" s="173"/>
      <c r="NU74" s="173"/>
      <c r="NV74" s="173"/>
      <c r="NW74" s="173"/>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175"/>
      <c r="PM74" s="175"/>
      <c r="PN74" s="173"/>
      <c r="PO74" s="177"/>
      <c r="PP74" s="173"/>
      <c r="PQ74" s="173"/>
      <c r="PR74" s="173"/>
      <c r="PS74" s="173"/>
      <c r="PT74" s="173"/>
      <c r="PU74" s="174"/>
      <c r="PV74" s="173"/>
      <c r="PW74" s="173"/>
      <c r="PX74" s="173"/>
      <c r="PY74" s="173"/>
      <c r="PZ74" s="173"/>
      <c r="QA74" s="172"/>
      <c r="QB74" s="173"/>
      <c r="QC74" s="173"/>
      <c r="QD74" s="173"/>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175"/>
      <c r="RU74" s="175"/>
      <c r="RV74" s="173"/>
      <c r="RW74" s="177"/>
      <c r="RX74" s="173"/>
      <c r="RY74" s="173"/>
      <c r="RZ74" s="173"/>
      <c r="SA74" s="173"/>
      <c r="SB74" s="173"/>
      <c r="SC74" s="174"/>
      <c r="SD74" s="173"/>
      <c r="SE74" s="173"/>
      <c r="SF74" s="173"/>
      <c r="SG74" s="173"/>
      <c r="SH74" s="173"/>
      <c r="SI74" s="172"/>
      <c r="SJ74" s="173"/>
      <c r="SK74" s="173"/>
      <c r="SL74" s="173"/>
      <c r="SM74" s="173"/>
      <c r="SN74" s="173"/>
      <c r="SO74" s="174"/>
      <c r="SP74" s="173"/>
      <c r="SQ74" s="173"/>
      <c r="SR74" s="173"/>
      <c r="SS74" s="173"/>
      <c r="ST74" s="173"/>
      <c r="SU74" s="172"/>
      <c r="SV74" s="175"/>
      <c r="SW74" s="175"/>
      <c r="SX74" s="175"/>
      <c r="SY74" s="175"/>
      <c r="SZ74" s="173"/>
      <c r="TA74" s="174"/>
      <c r="TB74" s="173"/>
      <c r="TC74" s="173"/>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175"/>
      <c r="UC74" s="175"/>
      <c r="UD74" s="173"/>
      <c r="UE74" s="177"/>
      <c r="UF74" s="173"/>
      <c r="UG74" s="173"/>
      <c r="UH74" s="173"/>
      <c r="UI74" s="173"/>
      <c r="UJ74" s="173"/>
      <c r="UK74" s="174"/>
      <c r="UL74" s="173"/>
      <c r="UM74" s="173"/>
      <c r="UN74" s="173"/>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175"/>
      <c r="ADI74" s="175"/>
      <c r="ADJ74" s="173"/>
      <c r="ADK74" s="177"/>
      <c r="ADL74" s="173"/>
      <c r="ADM74" s="173"/>
      <c r="ADN74" s="173"/>
      <c r="ADO74" s="173"/>
      <c r="ADP74" s="173"/>
      <c r="ADQ74" s="174"/>
      <c r="ADR74" s="173"/>
      <c r="ADS74" s="173"/>
      <c r="ADT74" s="173"/>
      <c r="ADU74" s="173"/>
      <c r="ADV74" s="173"/>
      <c r="ADW74" s="172"/>
      <c r="ADX74" s="173"/>
      <c r="ADY74" s="173"/>
      <c r="ADZ74" s="173"/>
      <c r="AEA74" s="173"/>
      <c r="AEB74" s="173"/>
      <c r="AEC74" s="174"/>
      <c r="AED74" s="173"/>
      <c r="AEE74" s="173"/>
      <c r="AEF74" s="173"/>
      <c r="AEG74" s="173"/>
      <c r="AEH74" s="173"/>
      <c r="AEI74" s="172"/>
      <c r="AEJ74" s="175"/>
      <c r="AEK74" s="175"/>
      <c r="AEL74" s="175"/>
      <c r="AEM74" s="175"/>
      <c r="AEN74" s="173"/>
      <c r="AEO74" s="174"/>
      <c r="AEP74" s="173"/>
      <c r="AEQ74" s="173"/>
      <c r="AER74" s="173"/>
      <c r="AES74" s="173"/>
      <c r="AET74" s="173"/>
      <c r="AEU74" s="172"/>
      <c r="AEV74" s="173"/>
      <c r="AEW74" s="173"/>
      <c r="AEX74" s="173"/>
      <c r="AEY74" s="173"/>
      <c r="AEZ74" s="173"/>
      <c r="AFA74" s="174"/>
      <c r="AFB74" s="37"/>
      <c r="AFC74" s="37"/>
      <c r="AFD74" s="37"/>
      <c r="AFE74" s="37"/>
      <c r="AFF74" s="37"/>
      <c r="AFG74" s="75"/>
      <c r="AFH74" s="37"/>
      <c r="AFI74" s="37"/>
      <c r="AFJ74" s="37"/>
      <c r="AFK74" s="37"/>
      <c r="AFL74" s="37"/>
      <c r="AFM74" s="38"/>
      <c r="AFN74" s="36"/>
      <c r="AFO74" s="175"/>
      <c r="AFP74" s="175"/>
      <c r="AFQ74" s="175"/>
      <c r="AFR74" s="173"/>
      <c r="AFS74" s="177"/>
      <c r="AFT74" s="173"/>
      <c r="AFU74" s="173"/>
      <c r="AFV74" s="173"/>
      <c r="AFW74" s="173"/>
      <c r="AFX74" s="173"/>
      <c r="AFY74" s="174"/>
      <c r="AFZ74" s="173"/>
      <c r="AGA74" s="173"/>
      <c r="AGB74" s="173"/>
      <c r="AGC74" s="173"/>
      <c r="AGD74" s="173"/>
      <c r="AGE74" s="172"/>
      <c r="AGF74" s="173"/>
      <c r="AGG74" s="173"/>
      <c r="AGH74" s="173"/>
      <c r="AGI74" s="173"/>
      <c r="AGJ74" s="173"/>
      <c r="AGK74" s="174"/>
      <c r="AGL74" s="173"/>
      <c r="AGM74" s="173"/>
      <c r="AGN74" s="173"/>
      <c r="AGO74" s="173"/>
      <c r="AGP74" s="173"/>
      <c r="AGQ74" s="172"/>
      <c r="AGR74" s="175"/>
      <c r="AGS74" s="175"/>
      <c r="AGT74" s="175"/>
      <c r="AGU74" s="175"/>
      <c r="AGV74" s="173"/>
      <c r="AGW74" s="174"/>
      <c r="AGX74" s="173"/>
      <c r="AGY74" s="173"/>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175"/>
      <c r="AHY74" s="175"/>
      <c r="AHZ74" s="173"/>
      <c r="AIA74" s="177"/>
      <c r="AIB74" s="173"/>
      <c r="AIC74" s="173"/>
      <c r="AID74" s="173"/>
      <c r="AIE74" s="173"/>
      <c r="AIF74" s="173"/>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175"/>
      <c r="ARD74" s="175"/>
      <c r="ARE74" s="175"/>
      <c r="ARF74" s="173"/>
      <c r="ARG74" s="177"/>
      <c r="ARH74" s="173"/>
      <c r="ARI74" s="173"/>
      <c r="ARJ74" s="173"/>
      <c r="ARK74" s="173"/>
      <c r="ARL74" s="173"/>
      <c r="ARM74" s="174"/>
      <c r="ARN74" s="173"/>
      <c r="ARO74" s="173"/>
      <c r="ARP74" s="173"/>
      <c r="ARQ74" s="173"/>
      <c r="ARR74" s="173"/>
      <c r="ARS74" s="172"/>
      <c r="ART74" s="173"/>
      <c r="ARU74" s="173"/>
      <c r="ARV74" s="173"/>
      <c r="ARW74" s="173"/>
      <c r="ARX74" s="173"/>
      <c r="ARY74" s="174"/>
      <c r="ARZ74" s="173"/>
      <c r="ASA74" s="173"/>
      <c r="ASB74" s="173"/>
      <c r="ASC74" s="173"/>
      <c r="ASD74" s="173"/>
      <c r="ASE74" s="172"/>
      <c r="ASF74" s="175"/>
      <c r="ASG74" s="175"/>
      <c r="ASH74" s="175"/>
      <c r="ASI74" s="175"/>
      <c r="ASJ74" s="173"/>
      <c r="ASK74" s="174"/>
      <c r="ASL74" s="173"/>
      <c r="ASM74" s="173"/>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175"/>
      <c r="ATL74" s="175"/>
      <c r="ATM74" s="175"/>
      <c r="ATN74" s="173"/>
      <c r="ATO74" s="177"/>
      <c r="ATP74" s="173"/>
      <c r="ATQ74" s="173"/>
      <c r="ATR74" s="173"/>
      <c r="ATS74" s="173"/>
      <c r="ATT74" s="173"/>
      <c r="ATU74" s="174"/>
      <c r="ATV74" s="173"/>
      <c r="ATW74" s="173"/>
      <c r="ATX74" s="173"/>
      <c r="ATY74" s="173"/>
      <c r="ATZ74" s="173"/>
      <c r="AUA74" s="172"/>
      <c r="AUB74" s="173"/>
      <c r="AUC74" s="173"/>
      <c r="AUD74" s="173"/>
      <c r="AUE74" s="173"/>
      <c r="AUF74" s="173"/>
      <c r="AUG74" s="174"/>
      <c r="AUH74" s="173"/>
      <c r="AUI74" s="173"/>
      <c r="AUJ74" s="173"/>
      <c r="AUK74" s="173"/>
      <c r="AUL74" s="173"/>
      <c r="AUM74" s="172"/>
      <c r="AUN74" s="175"/>
      <c r="AUO74" s="175"/>
      <c r="AUP74" s="175"/>
      <c r="AUQ74" s="175"/>
      <c r="AUR74" s="173"/>
      <c r="AUS74" s="174"/>
      <c r="AUT74" s="173"/>
      <c r="AUU74" s="173"/>
      <c r="AUV74" s="173"/>
      <c r="AUW74" s="173"/>
      <c r="AUX74" s="173"/>
      <c r="AUY74" s="172"/>
      <c r="AUZ74" s="173"/>
      <c r="AVA74" s="173"/>
      <c r="AVB74" s="173"/>
      <c r="AVC74" s="173"/>
      <c r="AVD74" s="173"/>
      <c r="AVE74" s="174"/>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90"/>
    </row>
    <row r="75" spans="1:1566" ht="20.100000000000001" customHeight="1" x14ac:dyDescent="0.25">
      <c r="A75" s="100" t="s">
        <v>17</v>
      </c>
      <c r="B75" s="63"/>
      <c r="C75" s="235" t="s">
        <v>129</v>
      </c>
      <c r="D75" s="146" t="str">
        <f t="shared" si="0"/>
        <v>3h50min</v>
      </c>
      <c r="E75" s="31">
        <v>46</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192"/>
      <c r="BCS75" s="192"/>
      <c r="BCT75" s="193"/>
      <c r="BCU75" s="194"/>
      <c r="BCV75" s="193"/>
      <c r="BCW75" s="193"/>
      <c r="BCX75" s="193"/>
      <c r="BCY75" s="193"/>
      <c r="BCZ75" s="193"/>
      <c r="BDA75" s="195"/>
      <c r="BDB75" s="193"/>
      <c r="BDC75" s="193"/>
      <c r="BDD75" s="193"/>
      <c r="BDE75" s="193"/>
      <c r="BDF75" s="193"/>
      <c r="BDG75" s="196"/>
      <c r="BDH75" s="193"/>
      <c r="BDI75" s="193"/>
      <c r="BDJ75" s="193"/>
      <c r="BDK75" s="193"/>
      <c r="BDL75" s="193"/>
      <c r="BDM75" s="195"/>
      <c r="BDN75" s="193"/>
      <c r="BDO75" s="193"/>
      <c r="BDP75" s="193"/>
      <c r="BDQ75" s="193"/>
      <c r="BDR75" s="193"/>
      <c r="BDS75" s="196"/>
      <c r="BDT75" s="192"/>
      <c r="BDU75" s="192"/>
      <c r="BDV75" s="192"/>
      <c r="BDW75" s="192"/>
      <c r="BDX75" s="193"/>
      <c r="BDY75" s="195"/>
      <c r="BDZ75" s="193"/>
      <c r="BEA75" s="193"/>
      <c r="BEB75" s="193"/>
      <c r="BEC75" s="193"/>
      <c r="BED75" s="193"/>
      <c r="BEE75" s="196"/>
      <c r="BEF75" s="193"/>
      <c r="BEG75" s="193"/>
      <c r="BEH75" s="193"/>
      <c r="BEI75" s="193"/>
      <c r="BEJ75" s="193"/>
      <c r="BEK75" s="195"/>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90"/>
    </row>
    <row r="76" spans="1:1566" ht="20.100000000000001" customHeight="1" x14ac:dyDescent="0.3">
      <c r="A76" s="100" t="s">
        <v>18</v>
      </c>
      <c r="B76" s="63"/>
      <c r="C76" s="23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90"/>
    </row>
    <row r="77" spans="1:1566" ht="20.100000000000001" hidden="1" customHeight="1" x14ac:dyDescent="0.25">
      <c r="A77" s="100" t="s">
        <v>17</v>
      </c>
      <c r="B77" s="63"/>
      <c r="C77" s="23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90"/>
    </row>
    <row r="78" spans="1:1566" ht="20.100000000000001" hidden="1" customHeight="1" x14ac:dyDescent="0.25">
      <c r="A78" s="100" t="s">
        <v>18</v>
      </c>
      <c r="B78" s="63"/>
      <c r="C78" s="23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90"/>
    </row>
    <row r="79" spans="1:1566" ht="20.100000000000001" hidden="1" customHeight="1" x14ac:dyDescent="0.25">
      <c r="A79" s="100" t="s">
        <v>17</v>
      </c>
      <c r="B79" s="63"/>
      <c r="C79" s="23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90"/>
    </row>
    <row r="80" spans="1:1566" ht="20.100000000000001" hidden="1" customHeight="1" x14ac:dyDescent="0.3">
      <c r="A80" s="100" t="s">
        <v>18</v>
      </c>
      <c r="B80" s="63"/>
      <c r="C80" s="23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90"/>
    </row>
    <row r="81" spans="1:1566" ht="20.100000000000001" hidden="1" customHeight="1" x14ac:dyDescent="0.25">
      <c r="A81" s="100" t="s">
        <v>17</v>
      </c>
      <c r="B81" s="63"/>
      <c r="C81" s="23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90"/>
    </row>
    <row r="82" spans="1:1566" ht="20.100000000000001" hidden="1" customHeight="1" x14ac:dyDescent="0.3">
      <c r="A82" s="100" t="s">
        <v>18</v>
      </c>
      <c r="B82" s="63"/>
      <c r="C82" s="23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90"/>
    </row>
    <row r="83" spans="1:1566" ht="20.100000000000001" hidden="1" customHeight="1" x14ac:dyDescent="0.25">
      <c r="A83" s="100" t="s">
        <v>17</v>
      </c>
      <c r="B83" s="63"/>
      <c r="C83" s="23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90"/>
    </row>
    <row r="84" spans="1:1566" ht="20.100000000000001" hidden="1" customHeight="1" x14ac:dyDescent="0.25">
      <c r="A84" s="100" t="s">
        <v>18</v>
      </c>
      <c r="B84" s="63"/>
      <c r="C84" s="23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90"/>
    </row>
    <row r="85" spans="1:1566" ht="20.100000000000001" hidden="1" customHeight="1" x14ac:dyDescent="0.25">
      <c r="A85" s="100" t="s">
        <v>17</v>
      </c>
      <c r="B85" s="63"/>
      <c r="C85" s="23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90"/>
    </row>
    <row r="86" spans="1:1566" ht="20.100000000000001" hidden="1" customHeight="1" x14ac:dyDescent="0.3">
      <c r="A86" s="100" t="s">
        <v>18</v>
      </c>
      <c r="B86" s="63"/>
      <c r="C86" s="23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90"/>
    </row>
    <row r="87" spans="1:1566" ht="20.100000000000001" hidden="1" customHeight="1" x14ac:dyDescent="0.25">
      <c r="A87" s="100" t="s">
        <v>17</v>
      </c>
      <c r="B87" s="63"/>
      <c r="C87" s="232"/>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90"/>
    </row>
    <row r="88" spans="1:1566" ht="20.100000000000001" hidden="1" customHeight="1" x14ac:dyDescent="0.25">
      <c r="A88" s="100" t="s">
        <v>18</v>
      </c>
      <c r="B88" s="63"/>
      <c r="C88" s="233"/>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90"/>
    </row>
    <row r="89" spans="1:1566" ht="20.100000000000001" hidden="1" customHeight="1" x14ac:dyDescent="0.25">
      <c r="A89" s="100" t="s">
        <v>17</v>
      </c>
      <c r="B89" s="63"/>
      <c r="C89" s="232"/>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90"/>
    </row>
    <row r="90" spans="1:1566" ht="20.100000000000001" hidden="1" customHeight="1" x14ac:dyDescent="0.3">
      <c r="A90" s="100" t="s">
        <v>18</v>
      </c>
      <c r="B90" s="63"/>
      <c r="C90" s="23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90"/>
    </row>
    <row r="91" spans="1:1566" ht="20.100000000000001" hidden="1" customHeight="1" x14ac:dyDescent="0.25">
      <c r="A91" s="100" t="s">
        <v>17</v>
      </c>
      <c r="B91" s="63"/>
      <c r="C91" s="232"/>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90"/>
    </row>
    <row r="92" spans="1:1566" ht="20.100000000000001" hidden="1" customHeight="1" x14ac:dyDescent="0.3">
      <c r="A92" s="100" t="s">
        <v>18</v>
      </c>
      <c r="B92" s="63"/>
      <c r="C92" s="23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90"/>
    </row>
    <row r="93" spans="1:1566" ht="20.100000000000001" hidden="1" customHeight="1" x14ac:dyDescent="0.25">
      <c r="A93" s="100" t="s">
        <v>17</v>
      </c>
      <c r="B93" s="63"/>
      <c r="C93" s="232"/>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90"/>
    </row>
    <row r="94" spans="1:1566" ht="20.100000000000001" hidden="1" customHeight="1" x14ac:dyDescent="0.25">
      <c r="A94" s="100" t="s">
        <v>18</v>
      </c>
      <c r="B94" s="63"/>
      <c r="C94" s="233"/>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90"/>
    </row>
    <row r="95" spans="1:1566" ht="20.100000000000001" customHeight="1" x14ac:dyDescent="0.25">
      <c r="B95" s="96"/>
      <c r="C95" s="257" t="s">
        <v>9</v>
      </c>
      <c r="D95" s="258"/>
      <c r="E95" s="117">
        <f>SUM(E15,E17,E19,E21,E23,E25,E27,E29,E31,E33,E35,E37,E39,E41,E43,E45,E47,E49,E51,E53,E55,E57,E59,E61,E63,E65,E67,E69,E71,E73,E75,E77,E79,E81,E83,E85,E87,E89,E91,E93)</f>
        <v>1032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566" ht="20.100000000000001" customHeight="1" thickBot="1" x14ac:dyDescent="0.3">
      <c r="B96" s="96"/>
      <c r="C96" s="259"/>
      <c r="D96" s="260"/>
      <c r="E96" s="123" t="str">
        <f xml:space="preserve"> setValueToTime(E95)</f>
        <v>86h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53" t="s">
        <v>10</v>
      </c>
      <c r="D97" s="254"/>
      <c r="E97" s="118">
        <f>SUM(E16,E18,E20,E22,E24,E26,E28,E30,E32,E34,E36,E38,E40,E42,E44,E46,E48,E50,E52,E54,E56,E58,E60,E62,E64,E66,E68,E70,E72,E74,E76,E78,E80,E82,E84,E86,E88,E90,E92,E94)</f>
        <v>868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5"/>
      <c r="D98" s="256"/>
      <c r="E98" s="122" t="str">
        <f xml:space="preserve"> setValueToTime(E97)</f>
        <v>72h20min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GH14:GK14"/>
    <mergeCell ref="GN14:GQ14"/>
    <mergeCell ref="GT14:GW14"/>
    <mergeCell ref="GZ14:HC14"/>
    <mergeCell ref="HF14:HI14"/>
    <mergeCell ref="HL14:HO14"/>
    <mergeCell ref="HR14:HU14"/>
    <mergeCell ref="HX14:IA14"/>
    <mergeCell ref="ID14:IG14"/>
    <mergeCell ref="C15:C16"/>
    <mergeCell ref="C21:C22"/>
    <mergeCell ref="C19:C20"/>
    <mergeCell ref="C29:C30"/>
    <mergeCell ref="C47:C48"/>
    <mergeCell ref="C49:C50"/>
    <mergeCell ref="C51:C52"/>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C57:C58"/>
    <mergeCell ref="C59:C60"/>
    <mergeCell ref="C61:C62"/>
    <mergeCell ref="C83:C84"/>
    <mergeCell ref="C43:C44"/>
    <mergeCell ref="C91:C92"/>
    <mergeCell ref="C93:C9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39:C40"/>
    <mergeCell ref="C41:C42"/>
    <mergeCell ref="C13:C14"/>
    <mergeCell ref="E13:E14"/>
    <mergeCell ref="F12:BM12"/>
    <mergeCell ref="J14:M14"/>
    <mergeCell ref="P14:S14"/>
    <mergeCell ref="C27:C28"/>
    <mergeCell ref="C25:C26"/>
    <mergeCell ref="C23:C24"/>
    <mergeCell ref="FJ14:FM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DV10:GC10"/>
    <mergeCell ref="DV11:GC11"/>
    <mergeCell ref="DV12:GC12"/>
    <mergeCell ref="DV13:GC13"/>
    <mergeCell ref="DZ14:EC14"/>
    <mergeCell ref="EL14:EO14"/>
    <mergeCell ref="EX14:FA14"/>
    <mergeCell ref="C11:E12"/>
    <mergeCell ref="C1:E1"/>
    <mergeCell ref="C7:E7"/>
    <mergeCell ref="F11:BM11"/>
    <mergeCell ref="W9:AG9"/>
    <mergeCell ref="AH9:AW9"/>
    <mergeCell ref="CR10:DU10"/>
    <mergeCell ref="BN10:CP10"/>
    <mergeCell ref="BN11:DU11"/>
    <mergeCell ref="BN12:DU12"/>
    <mergeCell ref="G9:U9"/>
    <mergeCell ref="F13:BM13"/>
    <mergeCell ref="FV14:FY14"/>
    <mergeCell ref="EF14:EI14"/>
    <mergeCell ref="ER14:EU14"/>
    <mergeCell ref="FD14:FG14"/>
    <mergeCell ref="FP14:FS14"/>
    <mergeCell ref="C63:C64"/>
    <mergeCell ref="C65:C66"/>
    <mergeCell ref="C67:C68"/>
    <mergeCell ref="C69:C70"/>
    <mergeCell ref="C71:C72"/>
    <mergeCell ref="C73:C74"/>
    <mergeCell ref="C75:C76"/>
    <mergeCell ref="C77:C78"/>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37"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274"/>
  <sheetViews>
    <sheetView showGridLines="0" zoomScaleNormal="100" zoomScaleSheetLayoutView="98" workbookViewId="0">
      <selection activeCell="A5" sqref="A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140625" style="125" bestFit="1" customWidth="1"/>
    <col min="6" max="6" width="18.5703125" style="61" customWidth="1"/>
    <col min="7" max="16384" width="11.42578125" style="61"/>
  </cols>
  <sheetData>
    <row r="1" spans="1:7" ht="49.5" customHeight="1" thickBot="1" x14ac:dyDescent="0.35">
      <c r="D1" s="62"/>
    </row>
    <row r="2" spans="1:7" s="47" customFormat="1" ht="30" customHeight="1" thickBot="1" x14ac:dyDescent="0.3">
      <c r="A2" s="81" t="s">
        <v>11</v>
      </c>
      <c r="B2" s="163">
        <v>26</v>
      </c>
      <c r="C2" s="163"/>
      <c r="D2" s="82" t="s">
        <v>14</v>
      </c>
      <c r="E2" s="94">
        <v>45084</v>
      </c>
      <c r="F2" s="126" t="s">
        <v>71</v>
      </c>
      <c r="G2" s="46"/>
    </row>
    <row r="3" spans="1:7" s="47" customFormat="1" ht="30" customHeight="1" thickBot="1" x14ac:dyDescent="0.3">
      <c r="A3" s="80" t="s">
        <v>5</v>
      </c>
      <c r="B3" s="150" t="s">
        <v>37</v>
      </c>
      <c r="C3" s="151"/>
      <c r="D3" s="80" t="s">
        <v>12</v>
      </c>
      <c r="E3" s="267" t="s">
        <v>13</v>
      </c>
      <c r="F3" s="268"/>
      <c r="G3" s="46"/>
    </row>
    <row r="4" spans="1:7" s="52" customFormat="1" ht="27" x14ac:dyDescent="0.3">
      <c r="A4" s="48" t="s">
        <v>44</v>
      </c>
      <c r="B4" s="49">
        <v>2</v>
      </c>
      <c r="C4" s="152" t="str">
        <f xml:space="preserve"> IF(B4="","",setValueToTime(B4))</f>
        <v>0h10min</v>
      </c>
      <c r="D4" s="50"/>
      <c r="E4" s="269"/>
      <c r="F4" s="270"/>
      <c r="G4" s="51"/>
    </row>
    <row r="5" spans="1:7" s="52" customFormat="1" x14ac:dyDescent="0.3">
      <c r="A5" s="53"/>
      <c r="B5" s="54"/>
      <c r="C5" s="153" t="str">
        <f t="shared" ref="C5:C11" si="0" xml:space="preserve"> IF(B5="","",setValueToTime(B5))</f>
        <v/>
      </c>
      <c r="D5" s="55"/>
      <c r="E5" s="271"/>
      <c r="F5" s="272"/>
      <c r="G5" s="51"/>
    </row>
    <row r="6" spans="1:7" s="52" customFormat="1" x14ac:dyDescent="0.3">
      <c r="A6" s="53"/>
      <c r="B6" s="54"/>
      <c r="C6" s="153" t="str">
        <f t="shared" si="0"/>
        <v/>
      </c>
      <c r="D6" s="55"/>
      <c r="E6" s="271"/>
      <c r="F6" s="272"/>
      <c r="G6" s="51"/>
    </row>
    <row r="7" spans="1:7" s="52" customFormat="1" x14ac:dyDescent="0.3">
      <c r="A7" s="53"/>
      <c r="B7" s="54"/>
      <c r="C7" s="153"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x14ac:dyDescent="0.3">
      <c r="A10" s="54"/>
      <c r="B10" s="54"/>
      <c r="C10" s="154" t="str">
        <f t="shared" si="0"/>
        <v/>
      </c>
      <c r="D10" s="55"/>
      <c r="E10" s="271"/>
      <c r="F10" s="272"/>
      <c r="G10" s="51"/>
    </row>
    <row r="11" spans="1:7" s="52" customFormat="1" ht="15" thickBot="1" x14ac:dyDescent="0.35">
      <c r="A11" s="56"/>
      <c r="B11" s="56"/>
      <c r="C11" s="155" t="str">
        <f t="shared" si="0"/>
        <v/>
      </c>
      <c r="D11" s="57"/>
      <c r="E11" s="273"/>
      <c r="F11" s="274"/>
      <c r="G11" s="51"/>
    </row>
    <row r="12" spans="1:7" s="52" customFormat="1" ht="15" thickBot="1" x14ac:dyDescent="0.35">
      <c r="A12" s="111" t="s">
        <v>26</v>
      </c>
      <c r="B12" s="84">
        <f>SUM(B4:B11)</f>
        <v>2</v>
      </c>
      <c r="C12" s="111" t="str">
        <f xml:space="preserve"> setValueToTime(B12)</f>
        <v>0h10min</v>
      </c>
      <c r="D12" s="120"/>
      <c r="E12" s="265"/>
      <c r="F12" s="266"/>
      <c r="G12" s="51"/>
    </row>
    <row r="13" spans="1:7" s="59" customFormat="1" ht="15" thickBot="1" x14ac:dyDescent="0.35">
      <c r="A13" s="79"/>
      <c r="B13" s="79"/>
      <c r="C13" s="79"/>
      <c r="D13" s="79"/>
      <c r="E13" s="79"/>
      <c r="F13" s="79"/>
      <c r="G13" s="58"/>
    </row>
    <row r="14" spans="1:7" s="47" customFormat="1" ht="30" customHeight="1" thickBot="1" x14ac:dyDescent="0.3">
      <c r="A14" s="81" t="s">
        <v>11</v>
      </c>
      <c r="B14" s="163">
        <v>25</v>
      </c>
      <c r="C14" s="163"/>
      <c r="D14" s="82" t="s">
        <v>14</v>
      </c>
      <c r="E14" s="94">
        <v>45084</v>
      </c>
      <c r="F14" s="126" t="s">
        <v>72</v>
      </c>
      <c r="G14" s="46"/>
    </row>
    <row r="15" spans="1:7" s="47" customFormat="1" ht="30" customHeight="1" thickBot="1" x14ac:dyDescent="0.3">
      <c r="A15" s="80" t="s">
        <v>5</v>
      </c>
      <c r="B15" s="150" t="s">
        <v>37</v>
      </c>
      <c r="C15" s="151"/>
      <c r="D15" s="80" t="s">
        <v>12</v>
      </c>
      <c r="E15" s="267" t="s">
        <v>13</v>
      </c>
      <c r="F15" s="268"/>
      <c r="G15" s="46"/>
    </row>
    <row r="16" spans="1:7" s="52" customFormat="1" ht="27.75" thickBot="1" x14ac:dyDescent="0.35">
      <c r="A16" s="48" t="s">
        <v>44</v>
      </c>
      <c r="B16" s="49">
        <v>2</v>
      </c>
      <c r="C16" s="152" t="str">
        <f xml:space="preserve"> IF(B16="","",setValueToTime(B16))</f>
        <v>0h10min</v>
      </c>
      <c r="D16" s="50"/>
      <c r="E16" s="269"/>
      <c r="F16" s="270"/>
      <c r="G16" s="51"/>
    </row>
    <row r="17" spans="1:7" s="52" customFormat="1" ht="27.75" thickBot="1" x14ac:dyDescent="0.35">
      <c r="A17" s="53" t="s">
        <v>129</v>
      </c>
      <c r="B17" s="54">
        <v>46</v>
      </c>
      <c r="C17" s="152" t="str">
        <f xml:space="preserve"> IF(B17="","",setValueToTime(B17))</f>
        <v>3h50min</v>
      </c>
      <c r="D17" s="55"/>
      <c r="E17" s="271"/>
      <c r="F17" s="272"/>
      <c r="G17" s="51"/>
    </row>
    <row r="18" spans="1:7" s="52" customFormat="1" ht="15" thickBot="1" x14ac:dyDescent="0.35">
      <c r="A18" s="111" t="s">
        <v>26</v>
      </c>
      <c r="B18" s="84">
        <f>SUM(B16:B17)</f>
        <v>48</v>
      </c>
      <c r="C18" s="111" t="str">
        <f xml:space="preserve"> setValueToTime(B18)</f>
        <v>4h</v>
      </c>
      <c r="D18" s="120"/>
      <c r="E18" s="265"/>
      <c r="F18" s="266"/>
      <c r="G18" s="51"/>
    </row>
    <row r="19" spans="1:7" s="59" customFormat="1" ht="15" thickBot="1" x14ac:dyDescent="0.35">
      <c r="A19" s="79"/>
      <c r="B19" s="79"/>
      <c r="C19" s="79"/>
      <c r="D19" s="79"/>
      <c r="E19" s="79"/>
      <c r="F19" s="79"/>
      <c r="G19" s="58"/>
    </row>
    <row r="20" spans="1:7" s="47" customFormat="1" ht="30" customHeight="1" thickBot="1" x14ac:dyDescent="0.3">
      <c r="A20" s="81" t="s">
        <v>11</v>
      </c>
      <c r="B20" s="163">
        <v>24</v>
      </c>
      <c r="C20" s="163"/>
      <c r="D20" s="82" t="s">
        <v>14</v>
      </c>
      <c r="E20" s="94">
        <v>45082</v>
      </c>
      <c r="F20" s="126" t="s">
        <v>71</v>
      </c>
      <c r="G20" s="46"/>
    </row>
    <row r="21" spans="1:7" s="47" customFormat="1" ht="30" customHeight="1" thickBot="1" x14ac:dyDescent="0.3">
      <c r="A21" s="80" t="s">
        <v>5</v>
      </c>
      <c r="B21" s="150" t="s">
        <v>37</v>
      </c>
      <c r="C21" s="151"/>
      <c r="D21" s="80" t="s">
        <v>12</v>
      </c>
      <c r="E21" s="267" t="s">
        <v>13</v>
      </c>
      <c r="F21" s="268"/>
      <c r="G21" s="46"/>
    </row>
    <row r="22" spans="1:7" s="52" customFormat="1" ht="27" x14ac:dyDescent="0.3">
      <c r="A22" s="48" t="s">
        <v>44</v>
      </c>
      <c r="B22" s="49">
        <v>2</v>
      </c>
      <c r="C22" s="152" t="str">
        <f xml:space="preserve"> IF(B22="","",setValueToTime(B22))</f>
        <v>0h10min</v>
      </c>
      <c r="D22" s="50"/>
      <c r="E22" s="269"/>
      <c r="F22" s="270"/>
      <c r="G22" s="51"/>
    </row>
    <row r="23" spans="1:7" s="52" customFormat="1" ht="15" thickBot="1" x14ac:dyDescent="0.35">
      <c r="A23" s="53" t="s">
        <v>45</v>
      </c>
      <c r="B23" s="54">
        <v>36</v>
      </c>
      <c r="C23" s="153" t="str">
        <f t="shared" ref="C23" si="1" xml:space="preserve"> IF(B23="","",setValueToTime(B23))</f>
        <v>3h</v>
      </c>
      <c r="D23" s="55"/>
      <c r="E23" s="271"/>
      <c r="F23" s="272"/>
      <c r="G23" s="51"/>
    </row>
    <row r="24" spans="1:7" s="52" customFormat="1" ht="15" thickBot="1" x14ac:dyDescent="0.35">
      <c r="A24" s="111" t="s">
        <v>26</v>
      </c>
      <c r="B24" s="84">
        <f>SUM(B22:B23)</f>
        <v>38</v>
      </c>
      <c r="C24" s="111" t="str">
        <f xml:space="preserve"> setValueToTime(B24)</f>
        <v>3h10min</v>
      </c>
      <c r="D24" s="120"/>
      <c r="E24" s="265"/>
      <c r="F24" s="266"/>
      <c r="G24" s="51"/>
    </row>
    <row r="25" spans="1:7" s="59" customFormat="1" ht="15" thickBot="1" x14ac:dyDescent="0.35">
      <c r="A25" s="79"/>
      <c r="B25" s="79"/>
      <c r="C25" s="79"/>
      <c r="D25" s="79"/>
      <c r="E25" s="79"/>
      <c r="F25" s="79"/>
      <c r="G25" s="58"/>
    </row>
    <row r="26" spans="1:7" s="47" customFormat="1" ht="30" customHeight="1" thickBot="1" x14ac:dyDescent="0.3">
      <c r="A26" s="81" t="s">
        <v>11</v>
      </c>
      <c r="B26" s="163">
        <v>23</v>
      </c>
      <c r="C26" s="163"/>
      <c r="D26" s="82" t="s">
        <v>14</v>
      </c>
      <c r="E26" s="94">
        <v>45082</v>
      </c>
      <c r="F26" s="126" t="s">
        <v>69</v>
      </c>
      <c r="G26" s="46"/>
    </row>
    <row r="27" spans="1:7" s="47" customFormat="1" ht="30" customHeight="1" thickBot="1" x14ac:dyDescent="0.3">
      <c r="A27" s="80" t="s">
        <v>5</v>
      </c>
      <c r="B27" s="150" t="s">
        <v>37</v>
      </c>
      <c r="C27" s="151"/>
      <c r="D27" s="80" t="s">
        <v>12</v>
      </c>
      <c r="E27" s="267" t="s">
        <v>13</v>
      </c>
      <c r="F27" s="268"/>
      <c r="G27" s="46"/>
    </row>
    <row r="28" spans="1:7" s="52" customFormat="1" ht="27" x14ac:dyDescent="0.3">
      <c r="A28" s="48" t="s">
        <v>44</v>
      </c>
      <c r="B28" s="49">
        <v>2</v>
      </c>
      <c r="C28" s="152" t="str">
        <f xml:space="preserve"> IF(B28="","",setValueToTime(B28))</f>
        <v>0h10min</v>
      </c>
      <c r="D28" s="50"/>
      <c r="E28" s="269"/>
      <c r="F28" s="270"/>
      <c r="G28" s="51"/>
    </row>
    <row r="29" spans="1:7" s="52" customFormat="1" ht="15" thickBot="1" x14ac:dyDescent="0.35">
      <c r="A29" s="53" t="s">
        <v>45</v>
      </c>
      <c r="B29" s="54">
        <v>36</v>
      </c>
      <c r="C29" s="153" t="str">
        <f t="shared" ref="C29" si="2" xml:space="preserve"> IF(B29="","",setValueToTime(B29))</f>
        <v>3h</v>
      </c>
      <c r="D29" s="55"/>
      <c r="E29" s="271"/>
      <c r="F29" s="272"/>
      <c r="G29" s="51"/>
    </row>
    <row r="30" spans="1:7" s="52" customFormat="1" ht="15" thickBot="1" x14ac:dyDescent="0.35">
      <c r="A30" s="111" t="s">
        <v>26</v>
      </c>
      <c r="B30" s="84">
        <f>SUM(B28:B29)</f>
        <v>38</v>
      </c>
      <c r="C30" s="111" t="str">
        <f xml:space="preserve"> setValueToTime(B30)</f>
        <v>3h10min</v>
      </c>
      <c r="D30" s="120"/>
      <c r="E30" s="265"/>
      <c r="F30" s="266"/>
      <c r="G30" s="51"/>
    </row>
    <row r="31" spans="1:7" s="59" customFormat="1" ht="15" thickBot="1" x14ac:dyDescent="0.35">
      <c r="A31" s="79"/>
      <c r="B31" s="79"/>
      <c r="C31" s="79"/>
      <c r="D31" s="79"/>
      <c r="E31" s="79"/>
      <c r="F31" s="79"/>
      <c r="G31" s="58"/>
    </row>
    <row r="32" spans="1:7" s="47" customFormat="1" ht="30" customHeight="1" thickBot="1" x14ac:dyDescent="0.3">
      <c r="A32" s="81" t="s">
        <v>11</v>
      </c>
      <c r="B32" s="163">
        <v>22</v>
      </c>
      <c r="C32" s="163"/>
      <c r="D32" s="82" t="s">
        <v>14</v>
      </c>
      <c r="E32" s="94">
        <v>45079</v>
      </c>
      <c r="F32" s="126" t="s">
        <v>71</v>
      </c>
      <c r="G32" s="46"/>
    </row>
    <row r="33" spans="1:7" s="47" customFormat="1" ht="30" customHeight="1" thickBot="1" x14ac:dyDescent="0.3">
      <c r="A33" s="80" t="s">
        <v>5</v>
      </c>
      <c r="B33" s="150" t="s">
        <v>37</v>
      </c>
      <c r="C33" s="151"/>
      <c r="D33" s="80" t="s">
        <v>12</v>
      </c>
      <c r="E33" s="267" t="s">
        <v>13</v>
      </c>
      <c r="F33" s="268"/>
      <c r="G33" s="46"/>
    </row>
    <row r="34" spans="1:7" s="52" customFormat="1" ht="27" x14ac:dyDescent="0.3">
      <c r="A34" s="48" t="s">
        <v>44</v>
      </c>
      <c r="B34" s="49">
        <v>2</v>
      </c>
      <c r="C34" s="152" t="str">
        <f xml:space="preserve"> IF(B34="","",setValueToTime(B34))</f>
        <v>0h10min</v>
      </c>
      <c r="D34" s="50"/>
      <c r="E34" s="269"/>
      <c r="F34" s="270"/>
      <c r="G34" s="51"/>
    </row>
    <row r="35" spans="1:7" s="52" customFormat="1" ht="15" thickBot="1" x14ac:dyDescent="0.35">
      <c r="A35" s="53" t="s">
        <v>45</v>
      </c>
      <c r="B35" s="54">
        <v>36</v>
      </c>
      <c r="C35" s="153" t="str">
        <f t="shared" ref="C35" si="3" xml:space="preserve"> IF(B35="","",setValueToTime(B35))</f>
        <v>3h</v>
      </c>
      <c r="D35" s="55"/>
      <c r="E35" s="271"/>
      <c r="F35" s="272"/>
      <c r="G35" s="51"/>
    </row>
    <row r="36" spans="1:7" s="52" customFormat="1" ht="15" thickBot="1" x14ac:dyDescent="0.35">
      <c r="A36" s="111" t="s">
        <v>26</v>
      </c>
      <c r="B36" s="84">
        <f>SUM(B34:B35)</f>
        <v>38</v>
      </c>
      <c r="C36" s="111" t="str">
        <f xml:space="preserve"> setValueToTime(B36)</f>
        <v>3h10min</v>
      </c>
      <c r="D36" s="120"/>
      <c r="E36" s="265"/>
      <c r="F36" s="266"/>
      <c r="G36" s="51"/>
    </row>
    <row r="37" spans="1:7" s="59" customFormat="1" ht="15" thickBot="1" x14ac:dyDescent="0.35">
      <c r="A37" s="79"/>
      <c r="B37" s="79"/>
      <c r="C37" s="79"/>
      <c r="D37" s="79"/>
      <c r="E37" s="79"/>
      <c r="F37" s="79"/>
      <c r="G37" s="58"/>
    </row>
    <row r="38" spans="1:7" s="47" customFormat="1" ht="30" customHeight="1" thickBot="1" x14ac:dyDescent="0.3">
      <c r="A38" s="81" t="s">
        <v>11</v>
      </c>
      <c r="B38" s="163">
        <v>21</v>
      </c>
      <c r="C38" s="163"/>
      <c r="D38" s="82" t="s">
        <v>14</v>
      </c>
      <c r="E38" s="94">
        <v>45079</v>
      </c>
      <c r="F38" s="126" t="s">
        <v>72</v>
      </c>
      <c r="G38" s="46"/>
    </row>
    <row r="39" spans="1:7" s="47" customFormat="1" ht="30" customHeight="1" thickBot="1" x14ac:dyDescent="0.3">
      <c r="A39" s="80" t="s">
        <v>5</v>
      </c>
      <c r="B39" s="150" t="s">
        <v>37</v>
      </c>
      <c r="C39" s="151"/>
      <c r="D39" s="80" t="s">
        <v>12</v>
      </c>
      <c r="E39" s="267" t="s">
        <v>13</v>
      </c>
      <c r="F39" s="268"/>
      <c r="G39" s="46"/>
    </row>
    <row r="40" spans="1:7" s="52" customFormat="1" ht="27" x14ac:dyDescent="0.3">
      <c r="A40" s="48" t="s">
        <v>44</v>
      </c>
      <c r="B40" s="49">
        <v>2</v>
      </c>
      <c r="C40" s="152" t="str">
        <f xml:space="preserve"> IF(B40="","",setValueToTime(B40))</f>
        <v>0h10min</v>
      </c>
      <c r="D40" s="50"/>
      <c r="E40" s="269"/>
      <c r="F40" s="270"/>
      <c r="G40" s="51"/>
    </row>
    <row r="41" spans="1:7" s="52" customFormat="1" ht="27" x14ac:dyDescent="0.3">
      <c r="A41" s="53" t="s">
        <v>126</v>
      </c>
      <c r="B41" s="54">
        <v>14</v>
      </c>
      <c r="C41" s="153" t="str">
        <f t="shared" ref="C41:C42" si="4" xml:space="preserve"> IF(B41="","",setValueToTime(B41))</f>
        <v>1h10min</v>
      </c>
      <c r="D41" s="55" t="s">
        <v>128</v>
      </c>
      <c r="E41" s="271"/>
      <c r="F41" s="272"/>
      <c r="G41" s="51"/>
    </row>
    <row r="42" spans="1:7" s="52" customFormat="1" ht="15" thickBot="1" x14ac:dyDescent="0.35">
      <c r="A42" s="53" t="s">
        <v>45</v>
      </c>
      <c r="B42" s="54">
        <v>32</v>
      </c>
      <c r="C42" s="153" t="str">
        <f t="shared" si="4"/>
        <v>2h40min</v>
      </c>
      <c r="D42" s="55"/>
      <c r="E42" s="271"/>
      <c r="F42" s="272"/>
      <c r="G42" s="51"/>
    </row>
    <row r="43" spans="1:7" s="52" customFormat="1" ht="15" thickBot="1" x14ac:dyDescent="0.35">
      <c r="A43" s="111" t="s">
        <v>26</v>
      </c>
      <c r="B43" s="84">
        <f>SUM(B40:B42)</f>
        <v>48</v>
      </c>
      <c r="C43" s="111" t="str">
        <f xml:space="preserve"> setValueToTime(B43)</f>
        <v>4h</v>
      </c>
      <c r="D43" s="120"/>
      <c r="E43" s="265"/>
      <c r="F43" s="266"/>
      <c r="G43" s="51"/>
    </row>
    <row r="44" spans="1:7" s="59" customFormat="1" ht="15" thickBot="1" x14ac:dyDescent="0.35">
      <c r="A44" s="79"/>
      <c r="B44" s="79"/>
      <c r="C44" s="79"/>
      <c r="D44" s="79"/>
      <c r="E44" s="79"/>
      <c r="F44" s="79"/>
      <c r="G44" s="58"/>
    </row>
    <row r="45" spans="1:7" s="47" customFormat="1" ht="30" customHeight="1" thickBot="1" x14ac:dyDescent="0.3">
      <c r="A45" s="81" t="s">
        <v>11</v>
      </c>
      <c r="B45" s="163">
        <v>20</v>
      </c>
      <c r="C45" s="163"/>
      <c r="D45" s="82" t="s">
        <v>14</v>
      </c>
      <c r="E45" s="94">
        <v>45077</v>
      </c>
      <c r="F45" s="126" t="s">
        <v>71</v>
      </c>
      <c r="G45" s="46"/>
    </row>
    <row r="46" spans="1:7" s="47" customFormat="1" ht="30" customHeight="1" thickBot="1" x14ac:dyDescent="0.3">
      <c r="A46" s="80" t="s">
        <v>5</v>
      </c>
      <c r="B46" s="150" t="s">
        <v>37</v>
      </c>
      <c r="C46" s="151"/>
      <c r="D46" s="80" t="s">
        <v>12</v>
      </c>
      <c r="E46" s="267" t="s">
        <v>13</v>
      </c>
      <c r="F46" s="268"/>
      <c r="G46" s="46"/>
    </row>
    <row r="47" spans="1:7" s="52" customFormat="1" ht="27" x14ac:dyDescent="0.3">
      <c r="A47" s="48" t="s">
        <v>44</v>
      </c>
      <c r="B47" s="49">
        <v>2</v>
      </c>
      <c r="C47" s="152" t="str">
        <f xml:space="preserve"> IF(B47="","",setValueToTime(B47))</f>
        <v>0h10min</v>
      </c>
      <c r="D47" s="50"/>
      <c r="E47" s="269"/>
      <c r="F47" s="270"/>
      <c r="G47" s="51"/>
    </row>
    <row r="48" spans="1:7" s="52" customFormat="1" x14ac:dyDescent="0.3">
      <c r="A48" s="53"/>
      <c r="B48" s="54"/>
      <c r="C48" s="153" t="str">
        <f t="shared" ref="C48:C58" si="5" xml:space="preserve"> IF(B48="","",setValueToTime(B48))</f>
        <v/>
      </c>
      <c r="D48" s="55"/>
      <c r="E48" s="271"/>
      <c r="F48" s="272"/>
      <c r="G48" s="51"/>
    </row>
    <row r="49" spans="1:7" s="52" customFormat="1" x14ac:dyDescent="0.3">
      <c r="A49" s="54" t="s">
        <v>67</v>
      </c>
      <c r="B49" s="54">
        <v>4</v>
      </c>
      <c r="C49" s="153" t="str">
        <f t="shared" si="5"/>
        <v>0h20min</v>
      </c>
      <c r="D49" s="55"/>
      <c r="E49" s="271"/>
      <c r="F49" s="272"/>
      <c r="G49" s="51"/>
    </row>
    <row r="50" spans="1:7" s="52" customFormat="1" ht="27" x14ac:dyDescent="0.3">
      <c r="A50" s="53" t="s">
        <v>61</v>
      </c>
      <c r="B50" s="54">
        <v>12</v>
      </c>
      <c r="C50" s="153" t="str">
        <f t="shared" si="5"/>
        <v>1h</v>
      </c>
      <c r="D50" s="55"/>
      <c r="E50" s="271"/>
      <c r="F50" s="272"/>
      <c r="G50" s="51"/>
    </row>
    <row r="51" spans="1:7" s="52" customFormat="1" x14ac:dyDescent="0.3">
      <c r="A51" s="54" t="s">
        <v>42</v>
      </c>
      <c r="B51" s="54">
        <v>7</v>
      </c>
      <c r="C51" s="154" t="str">
        <f t="shared" si="5"/>
        <v>0h35min</v>
      </c>
      <c r="D51" s="55"/>
      <c r="E51" s="271"/>
      <c r="F51" s="272"/>
      <c r="G51" s="51"/>
    </row>
    <row r="52" spans="1:7" s="52" customFormat="1" ht="27" x14ac:dyDescent="0.3">
      <c r="A52" s="54" t="s">
        <v>68</v>
      </c>
      <c r="B52" s="54">
        <v>3</v>
      </c>
      <c r="C52" s="154" t="str">
        <f t="shared" si="5"/>
        <v>0h15min</v>
      </c>
      <c r="D52" s="55"/>
      <c r="E52" s="271"/>
      <c r="F52" s="272"/>
      <c r="G52" s="51"/>
    </row>
    <row r="53" spans="1:7" s="52" customFormat="1" x14ac:dyDescent="0.3">
      <c r="A53" s="54"/>
      <c r="B53" s="54"/>
      <c r="C53" s="154" t="str">
        <f t="shared" si="5"/>
        <v/>
      </c>
      <c r="D53" s="55"/>
      <c r="E53" s="188"/>
      <c r="F53" s="189"/>
      <c r="G53" s="51"/>
    </row>
    <row r="54" spans="1:7" s="52" customFormat="1" x14ac:dyDescent="0.3">
      <c r="A54" s="54" t="s">
        <v>67</v>
      </c>
      <c r="B54" s="54">
        <v>2</v>
      </c>
      <c r="C54" s="154" t="str">
        <f t="shared" si="5"/>
        <v>0h10min</v>
      </c>
      <c r="D54" s="55"/>
      <c r="E54" s="188"/>
      <c r="F54" s="189"/>
      <c r="G54" s="51"/>
    </row>
    <row r="55" spans="1:7" s="52" customFormat="1" ht="27" x14ac:dyDescent="0.3">
      <c r="A55" s="53" t="s">
        <v>66</v>
      </c>
      <c r="B55" s="54">
        <v>4</v>
      </c>
      <c r="C55" s="154" t="str">
        <f t="shared" si="5"/>
        <v>0h20min</v>
      </c>
      <c r="D55" s="55"/>
      <c r="E55" s="188"/>
      <c r="F55" s="189"/>
      <c r="G55" s="51"/>
    </row>
    <row r="56" spans="1:7" s="52" customFormat="1" x14ac:dyDescent="0.3">
      <c r="A56" s="54" t="s">
        <v>42</v>
      </c>
      <c r="B56" s="54">
        <v>2</v>
      </c>
      <c r="C56" s="154" t="str">
        <f t="shared" si="5"/>
        <v>0h10min</v>
      </c>
      <c r="D56" s="55"/>
      <c r="E56" s="188"/>
      <c r="F56" s="189"/>
      <c r="G56" s="51"/>
    </row>
    <row r="57" spans="1:7" s="52" customFormat="1" ht="27" x14ac:dyDescent="0.3">
      <c r="A57" s="54" t="s">
        <v>68</v>
      </c>
      <c r="B57" s="54">
        <v>2</v>
      </c>
      <c r="C57" s="154" t="str">
        <f t="shared" si="5"/>
        <v>0h10min</v>
      </c>
      <c r="D57" s="55"/>
      <c r="E57" s="271"/>
      <c r="F57" s="272"/>
      <c r="G57" s="51"/>
    </row>
    <row r="58" spans="1:7" s="52" customFormat="1" ht="15" thickBot="1" x14ac:dyDescent="0.35">
      <c r="A58" s="56"/>
      <c r="B58" s="56"/>
      <c r="C58" s="154" t="str">
        <f t="shared" si="5"/>
        <v/>
      </c>
      <c r="D58" s="57"/>
      <c r="E58" s="273"/>
      <c r="F58" s="274"/>
      <c r="G58" s="51"/>
    </row>
    <row r="59" spans="1:7" s="52" customFormat="1" ht="15" thickBot="1" x14ac:dyDescent="0.35">
      <c r="A59" s="111" t="s">
        <v>26</v>
      </c>
      <c r="B59" s="84">
        <f>SUM(B47:B58)</f>
        <v>38</v>
      </c>
      <c r="C59" s="111" t="str">
        <f xml:space="preserve"> setValueToTime(B59)</f>
        <v>3h10min</v>
      </c>
      <c r="D59" s="120"/>
      <c r="E59" s="265"/>
      <c r="F59" s="266"/>
      <c r="G59" s="51"/>
    </row>
    <row r="60" spans="1:7" s="59" customFormat="1" ht="15" thickBot="1" x14ac:dyDescent="0.35">
      <c r="A60" s="79"/>
      <c r="B60" s="79"/>
      <c r="C60" s="79"/>
      <c r="D60" s="79"/>
      <c r="E60" s="79"/>
      <c r="F60" s="79"/>
      <c r="G60" s="58"/>
    </row>
    <row r="61" spans="1:7" s="47" customFormat="1" ht="30" customHeight="1" thickBot="1" x14ac:dyDescent="0.3">
      <c r="A61" s="81" t="s">
        <v>11</v>
      </c>
      <c r="B61" s="163">
        <v>19</v>
      </c>
      <c r="C61" s="163"/>
      <c r="D61" s="82" t="s">
        <v>14</v>
      </c>
      <c r="E61" s="94">
        <v>45077</v>
      </c>
      <c r="F61" s="126" t="s">
        <v>72</v>
      </c>
      <c r="G61" s="46"/>
    </row>
    <row r="62" spans="1:7" s="47" customFormat="1" ht="30" customHeight="1" thickBot="1" x14ac:dyDescent="0.3">
      <c r="A62" s="80" t="s">
        <v>5</v>
      </c>
      <c r="B62" s="150" t="s">
        <v>37</v>
      </c>
      <c r="C62" s="151"/>
      <c r="D62" s="80" t="s">
        <v>12</v>
      </c>
      <c r="E62" s="267" t="s">
        <v>13</v>
      </c>
      <c r="F62" s="268"/>
      <c r="G62" s="46"/>
    </row>
    <row r="63" spans="1:7" s="52" customFormat="1" ht="27" x14ac:dyDescent="0.3">
      <c r="A63" s="48" t="s">
        <v>44</v>
      </c>
      <c r="B63" s="49">
        <v>2</v>
      </c>
      <c r="C63" s="152" t="str">
        <f xml:space="preserve"> IF(B63="","",setValueToTime(B63))</f>
        <v>0h10min</v>
      </c>
      <c r="D63" s="50"/>
      <c r="E63" s="269"/>
      <c r="F63" s="270"/>
      <c r="G63" s="51"/>
    </row>
    <row r="64" spans="1:7" s="52" customFormat="1" x14ac:dyDescent="0.3">
      <c r="A64" s="53" t="s">
        <v>45</v>
      </c>
      <c r="B64" s="54">
        <v>20</v>
      </c>
      <c r="C64" s="154" t="str">
        <f t="shared" ref="C64:C65" si="6" xml:space="preserve"> IF(B64="","",setValueToTime(B64))</f>
        <v>1h40min</v>
      </c>
      <c r="D64" s="55"/>
      <c r="E64" s="271"/>
      <c r="F64" s="272"/>
      <c r="G64" s="51"/>
    </row>
    <row r="65" spans="1:7" s="52" customFormat="1" x14ac:dyDescent="0.3">
      <c r="A65" s="53"/>
      <c r="B65" s="54"/>
      <c r="C65" s="154" t="str">
        <f t="shared" si="6"/>
        <v/>
      </c>
      <c r="D65" s="55"/>
      <c r="E65" s="188"/>
      <c r="F65" s="189"/>
      <c r="G65" s="51"/>
    </row>
    <row r="66" spans="1:7" s="52" customFormat="1" x14ac:dyDescent="0.3">
      <c r="A66" s="54" t="s">
        <v>67</v>
      </c>
      <c r="B66" s="54">
        <v>2</v>
      </c>
      <c r="C66" s="153" t="str">
        <f t="shared" ref="C66:C69" si="7" xml:space="preserve"> IF(B66="","",setValueToTime(B66))</f>
        <v>0h10min</v>
      </c>
      <c r="D66" s="55"/>
      <c r="E66" s="271"/>
      <c r="F66" s="272"/>
      <c r="G66" s="51"/>
    </row>
    <row r="67" spans="1:7" s="52" customFormat="1" ht="27" x14ac:dyDescent="0.3">
      <c r="A67" s="53" t="s">
        <v>65</v>
      </c>
      <c r="B67" s="54">
        <v>18</v>
      </c>
      <c r="C67" s="153" t="str">
        <f t="shared" si="7"/>
        <v>1h30min</v>
      </c>
      <c r="D67" s="55"/>
      <c r="E67" s="271"/>
      <c r="F67" s="272"/>
      <c r="G67" s="51"/>
    </row>
    <row r="68" spans="1:7" s="52" customFormat="1" x14ac:dyDescent="0.3">
      <c r="A68" s="54" t="s">
        <v>42</v>
      </c>
      <c r="B68" s="54">
        <v>4</v>
      </c>
      <c r="C68" s="154" t="str">
        <f t="shared" si="7"/>
        <v>0h20min</v>
      </c>
      <c r="D68" s="55"/>
      <c r="E68" s="271"/>
      <c r="F68" s="272"/>
      <c r="G68" s="51"/>
    </row>
    <row r="69" spans="1:7" s="52" customFormat="1" ht="27.75" thickBot="1" x14ac:dyDescent="0.35">
      <c r="A69" s="54" t="s">
        <v>68</v>
      </c>
      <c r="B69" s="54">
        <v>2</v>
      </c>
      <c r="C69" s="154" t="str">
        <f t="shared" si="7"/>
        <v>0h10min</v>
      </c>
      <c r="D69" s="55"/>
      <c r="E69" s="271"/>
      <c r="F69" s="272"/>
      <c r="G69" s="51"/>
    </row>
    <row r="70" spans="1:7" s="52" customFormat="1" ht="15" thickBot="1" x14ac:dyDescent="0.35">
      <c r="A70" s="111" t="s">
        <v>26</v>
      </c>
      <c r="B70" s="84">
        <f>SUM(B63:B69)</f>
        <v>48</v>
      </c>
      <c r="C70" s="111" t="str">
        <f xml:space="preserve"> setValueToTime(B70)</f>
        <v>4h</v>
      </c>
      <c r="D70" s="120"/>
      <c r="E70" s="265"/>
      <c r="F70" s="266"/>
      <c r="G70" s="51"/>
    </row>
    <row r="71" spans="1:7" s="59" customFormat="1" ht="15" thickBot="1" x14ac:dyDescent="0.35">
      <c r="A71" s="79"/>
      <c r="B71" s="79"/>
      <c r="C71" s="79"/>
      <c r="D71" s="79"/>
      <c r="E71" s="79"/>
      <c r="F71" s="79"/>
      <c r="G71" s="58"/>
    </row>
    <row r="72" spans="1:7" s="47" customFormat="1" ht="30" customHeight="1" thickBot="1" x14ac:dyDescent="0.3">
      <c r="A72" s="81" t="s">
        <v>11</v>
      </c>
      <c r="B72" s="163">
        <v>18</v>
      </c>
      <c r="C72" s="163"/>
      <c r="D72" s="82" t="s">
        <v>14</v>
      </c>
      <c r="E72" s="94">
        <v>45072</v>
      </c>
      <c r="F72" s="126" t="s">
        <v>71</v>
      </c>
      <c r="G72" s="46"/>
    </row>
    <row r="73" spans="1:7" s="47" customFormat="1" ht="30" customHeight="1" thickBot="1" x14ac:dyDescent="0.3">
      <c r="A73" s="80" t="s">
        <v>5</v>
      </c>
      <c r="B73" s="150" t="s">
        <v>37</v>
      </c>
      <c r="C73" s="151"/>
      <c r="D73" s="80" t="s">
        <v>12</v>
      </c>
      <c r="E73" s="267" t="s">
        <v>13</v>
      </c>
      <c r="F73" s="268"/>
      <c r="G73" s="46"/>
    </row>
    <row r="74" spans="1:7" s="52" customFormat="1" ht="27" x14ac:dyDescent="0.3">
      <c r="A74" s="48" t="s">
        <v>44</v>
      </c>
      <c r="B74" s="49">
        <v>2</v>
      </c>
      <c r="C74" s="152" t="str">
        <f xml:space="preserve"> IF(B74="","",setValueToTime(B74))</f>
        <v>0h10min</v>
      </c>
      <c r="D74" s="50"/>
      <c r="E74" s="269"/>
      <c r="F74" s="270"/>
      <c r="G74" s="51"/>
    </row>
    <row r="75" spans="1:7" s="52" customFormat="1" x14ac:dyDescent="0.3">
      <c r="A75" s="53" t="s">
        <v>45</v>
      </c>
      <c r="B75" s="54">
        <v>16</v>
      </c>
      <c r="C75" s="153" t="str">
        <f t="shared" ref="C75:C82" si="8" xml:space="preserve"> IF(B75="","",setValueToTime(B75))</f>
        <v>1h20min</v>
      </c>
      <c r="D75" s="55"/>
      <c r="E75" s="271"/>
      <c r="F75" s="272"/>
      <c r="G75" s="51"/>
    </row>
    <row r="76" spans="1:7" s="52" customFormat="1" ht="27" x14ac:dyDescent="0.3">
      <c r="A76" s="53" t="s">
        <v>126</v>
      </c>
      <c r="B76" s="54">
        <v>2</v>
      </c>
      <c r="C76" s="153" t="str">
        <f t="shared" si="8"/>
        <v>0h10min</v>
      </c>
      <c r="D76" s="55" t="s">
        <v>127</v>
      </c>
      <c r="E76" s="203"/>
      <c r="F76" s="204"/>
      <c r="G76" s="51"/>
    </row>
    <row r="77" spans="1:7" s="52" customFormat="1" x14ac:dyDescent="0.3">
      <c r="A77" s="53"/>
      <c r="B77" s="54"/>
      <c r="C77" s="153" t="str">
        <f t="shared" si="8"/>
        <v/>
      </c>
      <c r="D77" s="55"/>
      <c r="E77" s="271"/>
      <c r="F77" s="272"/>
      <c r="G77" s="51"/>
    </row>
    <row r="78" spans="1:7" s="52" customFormat="1" x14ac:dyDescent="0.3">
      <c r="A78" s="54" t="s">
        <v>67</v>
      </c>
      <c r="B78" s="54">
        <v>2</v>
      </c>
      <c r="C78" s="153" t="str">
        <f t="shared" si="8"/>
        <v>0h10min</v>
      </c>
      <c r="D78" s="55" t="s">
        <v>125</v>
      </c>
      <c r="E78" s="271"/>
      <c r="F78" s="272"/>
      <c r="G78" s="51"/>
    </row>
    <row r="79" spans="1:7" s="52" customFormat="1" ht="27" x14ac:dyDescent="0.3">
      <c r="A79" s="53" t="s">
        <v>64</v>
      </c>
      <c r="B79" s="54">
        <v>10</v>
      </c>
      <c r="C79" s="153" t="str">
        <f t="shared" si="8"/>
        <v>0h50min</v>
      </c>
      <c r="D79" s="55"/>
      <c r="E79" s="271"/>
      <c r="F79" s="272"/>
      <c r="G79" s="51"/>
    </row>
    <row r="80" spans="1:7" s="52" customFormat="1" x14ac:dyDescent="0.3">
      <c r="A80" s="54" t="s">
        <v>42</v>
      </c>
      <c r="B80" s="54">
        <v>4</v>
      </c>
      <c r="C80" s="153" t="str">
        <f t="shared" si="8"/>
        <v>0h20min</v>
      </c>
      <c r="D80" s="55"/>
      <c r="E80" s="271"/>
      <c r="F80" s="272"/>
      <c r="G80" s="51"/>
    </row>
    <row r="81" spans="1:7" s="52" customFormat="1" ht="27" x14ac:dyDescent="0.3">
      <c r="A81" s="54" t="s">
        <v>68</v>
      </c>
      <c r="B81" s="54">
        <v>2</v>
      </c>
      <c r="C81" s="153" t="str">
        <f t="shared" si="8"/>
        <v>0h10min</v>
      </c>
      <c r="D81" s="55"/>
      <c r="E81" s="271"/>
      <c r="F81" s="272"/>
      <c r="G81" s="51"/>
    </row>
    <row r="82" spans="1:7" s="52" customFormat="1" ht="15" thickBot="1" x14ac:dyDescent="0.35">
      <c r="A82" s="56"/>
      <c r="B82" s="56"/>
      <c r="C82" s="153" t="str">
        <f t="shared" si="8"/>
        <v/>
      </c>
      <c r="D82" s="57"/>
      <c r="E82" s="273"/>
      <c r="F82" s="274"/>
      <c r="G82" s="51"/>
    </row>
    <row r="83" spans="1:7" s="52" customFormat="1" ht="15" thickBot="1" x14ac:dyDescent="0.35">
      <c r="A83" s="111" t="s">
        <v>26</v>
      </c>
      <c r="B83" s="84">
        <f>SUM(B74:B82)</f>
        <v>38</v>
      </c>
      <c r="C83" s="111" t="str">
        <f xml:space="preserve"> setValueToTime(B83)</f>
        <v>3h10min</v>
      </c>
      <c r="D83" s="120"/>
      <c r="E83" s="265"/>
      <c r="F83" s="266"/>
      <c r="G83" s="51"/>
    </row>
    <row r="84" spans="1:7" s="59" customFormat="1" ht="15" thickBot="1" x14ac:dyDescent="0.35">
      <c r="A84" s="79"/>
      <c r="B84" s="79"/>
      <c r="C84" s="79"/>
      <c r="D84" s="79"/>
      <c r="E84" s="79"/>
      <c r="F84" s="79"/>
      <c r="G84" s="58"/>
    </row>
    <row r="85" spans="1:7" s="47" customFormat="1" ht="30" customHeight="1" thickBot="1" x14ac:dyDescent="0.3">
      <c r="A85" s="81" t="s">
        <v>11</v>
      </c>
      <c r="B85" s="163">
        <v>17</v>
      </c>
      <c r="C85" s="163"/>
      <c r="D85" s="82" t="s">
        <v>14</v>
      </c>
      <c r="E85" s="94">
        <v>45072</v>
      </c>
      <c r="F85" s="126" t="s">
        <v>72</v>
      </c>
      <c r="G85" s="46"/>
    </row>
    <row r="86" spans="1:7" s="47" customFormat="1" ht="30" customHeight="1" thickBot="1" x14ac:dyDescent="0.3">
      <c r="A86" s="80" t="s">
        <v>5</v>
      </c>
      <c r="B86" s="150" t="s">
        <v>37</v>
      </c>
      <c r="C86" s="151"/>
      <c r="D86" s="80" t="s">
        <v>12</v>
      </c>
      <c r="E86" s="267" t="s">
        <v>13</v>
      </c>
      <c r="F86" s="268"/>
      <c r="G86" s="46"/>
    </row>
    <row r="87" spans="1:7" s="52" customFormat="1" ht="27" x14ac:dyDescent="0.3">
      <c r="A87" s="48" t="s">
        <v>44</v>
      </c>
      <c r="B87" s="49">
        <v>2</v>
      </c>
      <c r="C87" s="152" t="str">
        <f xml:space="preserve"> IF(B87="","",setValueToTime(B87))</f>
        <v>0h10min</v>
      </c>
      <c r="D87" s="50"/>
      <c r="E87" s="269"/>
      <c r="F87" s="270"/>
      <c r="G87" s="51"/>
    </row>
    <row r="88" spans="1:7" s="52" customFormat="1" x14ac:dyDescent="0.3">
      <c r="A88" s="53"/>
      <c r="B88" s="54"/>
      <c r="C88" s="153" t="str">
        <f t="shared" ref="C88:C97" si="9" xml:space="preserve"> IF(B88="","",setValueToTime(B88))</f>
        <v/>
      </c>
      <c r="D88" s="55"/>
      <c r="E88" s="271"/>
      <c r="F88" s="272"/>
      <c r="G88" s="51"/>
    </row>
    <row r="89" spans="1:7" s="52" customFormat="1" x14ac:dyDescent="0.3">
      <c r="A89" s="54" t="s">
        <v>67</v>
      </c>
      <c r="B89" s="54">
        <v>2</v>
      </c>
      <c r="C89" s="153" t="str">
        <f t="shared" si="9"/>
        <v>0h10min</v>
      </c>
      <c r="D89" s="55"/>
      <c r="E89" s="271"/>
      <c r="F89" s="272"/>
      <c r="G89" s="51"/>
    </row>
    <row r="90" spans="1:7" s="52" customFormat="1" ht="27" x14ac:dyDescent="0.3">
      <c r="A90" s="53" t="s">
        <v>62</v>
      </c>
      <c r="B90" s="54">
        <v>8</v>
      </c>
      <c r="C90" s="153" t="str">
        <f t="shared" si="9"/>
        <v>0h40min</v>
      </c>
      <c r="D90" s="55"/>
      <c r="E90" s="271"/>
      <c r="F90" s="272"/>
      <c r="G90" s="51"/>
    </row>
    <row r="91" spans="1:7" s="52" customFormat="1" x14ac:dyDescent="0.3">
      <c r="A91" s="54" t="s">
        <v>42</v>
      </c>
      <c r="B91" s="54">
        <v>4</v>
      </c>
      <c r="C91" s="154" t="str">
        <f t="shared" si="9"/>
        <v>0h20min</v>
      </c>
      <c r="D91" s="55"/>
      <c r="E91" s="271"/>
      <c r="F91" s="272"/>
      <c r="G91" s="51"/>
    </row>
    <row r="92" spans="1:7" s="52" customFormat="1" ht="27" x14ac:dyDescent="0.3">
      <c r="A92" s="54" t="s">
        <v>68</v>
      </c>
      <c r="B92" s="54">
        <v>2</v>
      </c>
      <c r="C92" s="154" t="str">
        <f t="shared" si="9"/>
        <v>0h10min</v>
      </c>
      <c r="D92" s="55"/>
      <c r="E92" s="271"/>
      <c r="F92" s="272"/>
      <c r="G92" s="51"/>
    </row>
    <row r="93" spans="1:7" s="52" customFormat="1" x14ac:dyDescent="0.3">
      <c r="A93" s="54"/>
      <c r="B93" s="54"/>
      <c r="C93" s="154" t="str">
        <f t="shared" si="9"/>
        <v/>
      </c>
      <c r="D93" s="55"/>
      <c r="E93" s="188"/>
      <c r="F93" s="189"/>
      <c r="G93" s="51"/>
    </row>
    <row r="94" spans="1:7" s="52" customFormat="1" x14ac:dyDescent="0.3">
      <c r="A94" s="54" t="s">
        <v>67</v>
      </c>
      <c r="B94" s="54">
        <v>4</v>
      </c>
      <c r="C94" s="154" t="str">
        <f t="shared" si="9"/>
        <v>0h20min</v>
      </c>
      <c r="D94" s="55" t="s">
        <v>124</v>
      </c>
      <c r="E94" s="188"/>
      <c r="F94" s="189"/>
      <c r="G94" s="51"/>
    </row>
    <row r="95" spans="1:7" s="52" customFormat="1" ht="27" x14ac:dyDescent="0.3">
      <c r="A95" s="53" t="s">
        <v>63</v>
      </c>
      <c r="B95" s="54">
        <v>18</v>
      </c>
      <c r="C95" s="154" t="str">
        <f t="shared" si="9"/>
        <v>1h30min</v>
      </c>
      <c r="D95" s="55"/>
      <c r="E95" s="188"/>
      <c r="F95" s="189"/>
      <c r="G95" s="51"/>
    </row>
    <row r="96" spans="1:7" s="52" customFormat="1" x14ac:dyDescent="0.3">
      <c r="A96" s="54" t="s">
        <v>42</v>
      </c>
      <c r="B96" s="54">
        <v>4</v>
      </c>
      <c r="C96" s="154" t="str">
        <f t="shared" si="9"/>
        <v>0h20min</v>
      </c>
      <c r="D96" s="55"/>
      <c r="E96" s="188"/>
      <c r="F96" s="189"/>
      <c r="G96" s="51"/>
    </row>
    <row r="97" spans="1:7" s="52" customFormat="1" ht="27.75" thickBot="1" x14ac:dyDescent="0.35">
      <c r="A97" s="54" t="s">
        <v>68</v>
      </c>
      <c r="B97" s="54">
        <v>4</v>
      </c>
      <c r="C97" s="154" t="str">
        <f t="shared" si="9"/>
        <v>0h20min</v>
      </c>
      <c r="D97" s="55"/>
      <c r="E97" s="188"/>
      <c r="F97" s="189"/>
      <c r="G97" s="51"/>
    </row>
    <row r="98" spans="1:7" s="52" customFormat="1" ht="15" thickBot="1" x14ac:dyDescent="0.35">
      <c r="A98" s="111" t="s">
        <v>26</v>
      </c>
      <c r="B98" s="84">
        <f>SUM(B87:B97)</f>
        <v>48</v>
      </c>
      <c r="C98" s="111" t="str">
        <f xml:space="preserve"> setValueToTime(B98)</f>
        <v>4h</v>
      </c>
      <c r="D98" s="120"/>
      <c r="E98" s="265"/>
      <c r="F98" s="266"/>
      <c r="G98" s="51"/>
    </row>
    <row r="99" spans="1:7" s="59" customFormat="1" ht="15" thickBot="1" x14ac:dyDescent="0.35">
      <c r="A99" s="79"/>
      <c r="B99" s="79"/>
      <c r="C99" s="79"/>
      <c r="D99" s="79"/>
      <c r="E99" s="79"/>
      <c r="F99" s="79"/>
      <c r="G99" s="58"/>
    </row>
    <row r="100" spans="1:7" s="47" customFormat="1" ht="30" customHeight="1" thickBot="1" x14ac:dyDescent="0.3">
      <c r="A100" s="81" t="s">
        <v>11</v>
      </c>
      <c r="B100" s="163">
        <v>16</v>
      </c>
      <c r="C100" s="163"/>
      <c r="D100" s="82" t="s">
        <v>14</v>
      </c>
      <c r="E100" s="94">
        <v>45071</v>
      </c>
      <c r="F100" s="126" t="s">
        <v>71</v>
      </c>
      <c r="G100" s="46"/>
    </row>
    <row r="101" spans="1:7" s="47" customFormat="1" ht="30" customHeight="1" thickBot="1" x14ac:dyDescent="0.3">
      <c r="A101" s="80" t="s">
        <v>5</v>
      </c>
      <c r="B101" s="150" t="s">
        <v>37</v>
      </c>
      <c r="C101" s="151"/>
      <c r="D101" s="80" t="s">
        <v>12</v>
      </c>
      <c r="E101" s="267" t="s">
        <v>13</v>
      </c>
      <c r="F101" s="268"/>
      <c r="G101" s="46"/>
    </row>
    <row r="102" spans="1:7" s="52" customFormat="1" ht="27" x14ac:dyDescent="0.3">
      <c r="A102" s="48" t="s">
        <v>44</v>
      </c>
      <c r="B102" s="49">
        <v>2</v>
      </c>
      <c r="C102" s="152" t="str">
        <f xml:space="preserve"> IF(B102="","",setValueToTime(B102))</f>
        <v>0h10min</v>
      </c>
      <c r="D102" s="50"/>
      <c r="E102" s="269"/>
      <c r="F102" s="270"/>
      <c r="G102" s="51"/>
    </row>
    <row r="103" spans="1:7" s="52" customFormat="1" x14ac:dyDescent="0.3">
      <c r="A103" s="53" t="s">
        <v>45</v>
      </c>
      <c r="B103" s="54">
        <v>27</v>
      </c>
      <c r="C103" s="153" t="str">
        <f t="shared" ref="C103:C108" si="10" xml:space="preserve"> IF(B103="","",setValueToTime(B103))</f>
        <v>2h15min</v>
      </c>
      <c r="D103" s="55"/>
      <c r="E103" s="271"/>
      <c r="F103" s="272"/>
      <c r="G103" s="51"/>
    </row>
    <row r="104" spans="1:7" s="52" customFormat="1" x14ac:dyDescent="0.3">
      <c r="A104" s="53"/>
      <c r="B104" s="54"/>
      <c r="C104" s="153"/>
      <c r="D104" s="55"/>
      <c r="E104" s="188"/>
      <c r="F104" s="189"/>
      <c r="G104" s="51"/>
    </row>
    <row r="105" spans="1:7" s="52" customFormat="1" x14ac:dyDescent="0.3">
      <c r="A105" s="54" t="s">
        <v>67</v>
      </c>
      <c r="B105" s="54">
        <v>1</v>
      </c>
      <c r="C105" s="153" t="str">
        <f t="shared" si="10"/>
        <v>0h5min</v>
      </c>
      <c r="D105" s="55"/>
      <c r="E105" s="271"/>
      <c r="F105" s="272"/>
      <c r="G105" s="51"/>
    </row>
    <row r="106" spans="1:7" s="52" customFormat="1" ht="27" x14ac:dyDescent="0.3">
      <c r="A106" s="54" t="s">
        <v>60</v>
      </c>
      <c r="B106" s="54">
        <v>4</v>
      </c>
      <c r="C106" s="153" t="str">
        <f t="shared" si="10"/>
        <v>0h20min</v>
      </c>
      <c r="D106" s="55"/>
      <c r="E106" s="271"/>
      <c r="F106" s="272"/>
      <c r="G106" s="51"/>
    </row>
    <row r="107" spans="1:7" s="52" customFormat="1" x14ac:dyDescent="0.3">
      <c r="A107" s="54" t="s">
        <v>42</v>
      </c>
      <c r="B107" s="54">
        <v>2</v>
      </c>
      <c r="C107" s="154" t="str">
        <f t="shared" si="10"/>
        <v>0h10min</v>
      </c>
      <c r="D107" s="55"/>
      <c r="E107" s="271"/>
      <c r="F107" s="272"/>
      <c r="G107" s="51"/>
    </row>
    <row r="108" spans="1:7" s="52" customFormat="1" ht="27.75" thickBot="1" x14ac:dyDescent="0.35">
      <c r="A108" s="54" t="s">
        <v>68</v>
      </c>
      <c r="B108" s="54">
        <v>2</v>
      </c>
      <c r="C108" s="154" t="str">
        <f t="shared" si="10"/>
        <v>0h10min</v>
      </c>
      <c r="D108" s="55"/>
      <c r="E108" s="271"/>
      <c r="F108" s="272"/>
      <c r="G108" s="51"/>
    </row>
    <row r="109" spans="1:7" s="52" customFormat="1" ht="15" thickBot="1" x14ac:dyDescent="0.35">
      <c r="A109" s="111" t="s">
        <v>26</v>
      </c>
      <c r="B109" s="84">
        <f>SUM(B102:B108)</f>
        <v>38</v>
      </c>
      <c r="C109" s="111" t="str">
        <f xml:space="preserve"> setValueToTime(B109)</f>
        <v>3h10min</v>
      </c>
      <c r="D109" s="120"/>
      <c r="E109" s="265"/>
      <c r="F109" s="266"/>
      <c r="G109" s="51"/>
    </row>
    <row r="110" spans="1:7" s="59" customFormat="1" ht="15" thickBot="1" x14ac:dyDescent="0.35">
      <c r="A110" s="79"/>
      <c r="B110" s="79"/>
      <c r="C110" s="79"/>
      <c r="D110" s="79"/>
      <c r="E110" s="79"/>
      <c r="F110" s="79"/>
      <c r="G110" s="58"/>
    </row>
    <row r="111" spans="1:7" s="47" customFormat="1" ht="30" customHeight="1" thickBot="1" x14ac:dyDescent="0.3">
      <c r="A111" s="81" t="s">
        <v>11</v>
      </c>
      <c r="B111" s="163">
        <v>15</v>
      </c>
      <c r="C111" s="163"/>
      <c r="D111" s="82" t="s">
        <v>14</v>
      </c>
      <c r="E111" s="94">
        <v>45070</v>
      </c>
      <c r="F111" s="126" t="s">
        <v>71</v>
      </c>
      <c r="G111" s="46"/>
    </row>
    <row r="112" spans="1:7" s="47" customFormat="1" ht="30" customHeight="1" thickBot="1" x14ac:dyDescent="0.3">
      <c r="A112" s="80" t="s">
        <v>5</v>
      </c>
      <c r="B112" s="150" t="s">
        <v>37</v>
      </c>
      <c r="C112" s="151"/>
      <c r="D112" s="80" t="s">
        <v>12</v>
      </c>
      <c r="E112" s="267" t="s">
        <v>13</v>
      </c>
      <c r="F112" s="268"/>
      <c r="G112" s="46"/>
    </row>
    <row r="113" spans="1:7" s="52" customFormat="1" ht="27" x14ac:dyDescent="0.3">
      <c r="A113" s="48" t="s">
        <v>44</v>
      </c>
      <c r="B113" s="49">
        <v>2</v>
      </c>
      <c r="C113" s="152" t="str">
        <f xml:space="preserve"> IF(B113="","",setValueToTime(B113))</f>
        <v>0h10min</v>
      </c>
      <c r="D113" s="50"/>
      <c r="E113" s="269"/>
      <c r="F113" s="270"/>
      <c r="G113" s="51"/>
    </row>
    <row r="114" spans="1:7" s="52" customFormat="1" x14ac:dyDescent="0.3">
      <c r="A114" s="183"/>
      <c r="B114" s="184"/>
      <c r="C114" s="153" t="str">
        <f t="shared" ref="C114:C117" si="11" xml:space="preserve"> IF(B114="","",setValueToTime(B114))</f>
        <v/>
      </c>
      <c r="D114" s="185"/>
      <c r="E114" s="186"/>
      <c r="F114" s="187"/>
      <c r="G114" s="51"/>
    </row>
    <row r="115" spans="1:7" s="52" customFormat="1" x14ac:dyDescent="0.3">
      <c r="A115" s="183" t="s">
        <v>67</v>
      </c>
      <c r="B115" s="184">
        <v>3</v>
      </c>
      <c r="C115" s="153" t="str">
        <f t="shared" si="11"/>
        <v>0h15min</v>
      </c>
      <c r="D115" s="185"/>
      <c r="E115" s="186"/>
      <c r="F115" s="187"/>
      <c r="G115" s="51"/>
    </row>
    <row r="116" spans="1:7" s="52" customFormat="1" ht="27" x14ac:dyDescent="0.3">
      <c r="A116" s="183" t="s">
        <v>57</v>
      </c>
      <c r="B116" s="184">
        <v>22</v>
      </c>
      <c r="C116" s="153" t="str">
        <f t="shared" si="11"/>
        <v>1h50min</v>
      </c>
      <c r="D116" s="185"/>
      <c r="E116" s="186"/>
      <c r="F116" s="187"/>
      <c r="G116" s="51"/>
    </row>
    <row r="117" spans="1:7" s="52" customFormat="1" x14ac:dyDescent="0.3">
      <c r="A117" s="53" t="s">
        <v>42</v>
      </c>
      <c r="B117" s="54">
        <v>8</v>
      </c>
      <c r="C117" s="153" t="str">
        <f t="shared" si="11"/>
        <v>0h40min</v>
      </c>
      <c r="D117" s="55"/>
      <c r="E117" s="271"/>
      <c r="F117" s="272"/>
      <c r="G117" s="51"/>
    </row>
    <row r="118" spans="1:7" s="52" customFormat="1" ht="27.75" thickBot="1" x14ac:dyDescent="0.35">
      <c r="A118" s="53" t="s">
        <v>68</v>
      </c>
      <c r="B118" s="54">
        <v>3</v>
      </c>
      <c r="C118" s="153" t="str">
        <f t="shared" ref="C118" si="12" xml:space="preserve"> IF(B118="","",setValueToTime(B118))</f>
        <v>0h15min</v>
      </c>
      <c r="D118" s="55"/>
      <c r="E118" s="271"/>
      <c r="F118" s="272"/>
      <c r="G118" s="51"/>
    </row>
    <row r="119" spans="1:7" s="52" customFormat="1" ht="15" thickBot="1" x14ac:dyDescent="0.35">
      <c r="A119" s="111" t="s">
        <v>26</v>
      </c>
      <c r="B119" s="84">
        <f>SUM(B113:B118)</f>
        <v>38</v>
      </c>
      <c r="C119" s="111" t="str">
        <f xml:space="preserve"> setValueToTime(B119)</f>
        <v>3h10min</v>
      </c>
      <c r="D119" s="120"/>
      <c r="E119" s="265"/>
      <c r="F119" s="266"/>
      <c r="G119" s="51"/>
    </row>
    <row r="120" spans="1:7" s="59" customFormat="1" ht="15" thickBot="1" x14ac:dyDescent="0.35">
      <c r="A120" s="79"/>
      <c r="B120" s="79"/>
      <c r="C120" s="79"/>
      <c r="D120" s="79"/>
      <c r="E120" s="79"/>
      <c r="F120" s="79"/>
      <c r="G120" s="58"/>
    </row>
    <row r="121" spans="1:7" s="47" customFormat="1" ht="30" customHeight="1" thickBot="1" x14ac:dyDescent="0.3">
      <c r="A121" s="81" t="s">
        <v>11</v>
      </c>
      <c r="B121" s="163">
        <v>14</v>
      </c>
      <c r="C121" s="163"/>
      <c r="D121" s="82" t="s">
        <v>14</v>
      </c>
      <c r="E121" s="94">
        <v>45070</v>
      </c>
      <c r="F121" s="126" t="s">
        <v>72</v>
      </c>
      <c r="G121" s="46"/>
    </row>
    <row r="122" spans="1:7" s="47" customFormat="1" ht="30" customHeight="1" thickBot="1" x14ac:dyDescent="0.3">
      <c r="A122" s="80" t="s">
        <v>5</v>
      </c>
      <c r="B122" s="150" t="s">
        <v>37</v>
      </c>
      <c r="C122" s="151"/>
      <c r="D122" s="80" t="s">
        <v>12</v>
      </c>
      <c r="E122" s="267" t="s">
        <v>13</v>
      </c>
      <c r="F122" s="268"/>
      <c r="G122" s="46"/>
    </row>
    <row r="123" spans="1:7" s="52" customFormat="1" ht="27" x14ac:dyDescent="0.3">
      <c r="A123" s="48" t="s">
        <v>44</v>
      </c>
      <c r="B123" s="49">
        <v>2</v>
      </c>
      <c r="C123" s="152" t="str">
        <f xml:space="preserve"> IF(B123="","",setValueToTime(B123))</f>
        <v>0h10min</v>
      </c>
      <c r="D123" s="50"/>
      <c r="E123" s="269"/>
      <c r="F123" s="270"/>
      <c r="G123" s="51"/>
    </row>
    <row r="124" spans="1:7" s="52" customFormat="1" x14ac:dyDescent="0.3">
      <c r="A124" s="53"/>
      <c r="B124" s="54"/>
      <c r="C124" s="153" t="str">
        <f t="shared" ref="C124:C134" si="13" xml:space="preserve"> IF(B124="","",setValueToTime(B124))</f>
        <v/>
      </c>
      <c r="D124" s="55"/>
      <c r="E124" s="271"/>
      <c r="F124" s="272"/>
      <c r="G124" s="51"/>
    </row>
    <row r="125" spans="1:7" s="52" customFormat="1" x14ac:dyDescent="0.3">
      <c r="A125" s="54" t="s">
        <v>67</v>
      </c>
      <c r="B125" s="54">
        <v>2</v>
      </c>
      <c r="C125" s="153" t="str">
        <f t="shared" si="13"/>
        <v>0h10min</v>
      </c>
      <c r="D125" s="55"/>
      <c r="E125" s="271"/>
      <c r="F125" s="272"/>
      <c r="G125" s="51"/>
    </row>
    <row r="126" spans="1:7" s="52" customFormat="1" ht="27" x14ac:dyDescent="0.3">
      <c r="A126" s="54" t="s">
        <v>58</v>
      </c>
      <c r="B126" s="54">
        <v>8</v>
      </c>
      <c r="C126" s="153" t="str">
        <f t="shared" si="13"/>
        <v>0h40min</v>
      </c>
      <c r="D126" s="55"/>
      <c r="E126" s="271"/>
      <c r="F126" s="272"/>
      <c r="G126" s="51"/>
    </row>
    <row r="127" spans="1:7" s="52" customFormat="1" x14ac:dyDescent="0.3">
      <c r="A127" s="54" t="s">
        <v>42</v>
      </c>
      <c r="B127" s="54">
        <v>4</v>
      </c>
      <c r="C127" s="153" t="str">
        <f t="shared" si="13"/>
        <v>0h20min</v>
      </c>
      <c r="D127" s="55"/>
      <c r="E127" s="165"/>
      <c r="F127" s="166"/>
      <c r="G127" s="51"/>
    </row>
    <row r="128" spans="1:7" s="52" customFormat="1" ht="27" x14ac:dyDescent="0.3">
      <c r="A128" s="53" t="s">
        <v>68</v>
      </c>
      <c r="B128" s="54">
        <v>2</v>
      </c>
      <c r="C128" s="153" t="str">
        <f t="shared" si="13"/>
        <v>0h10min</v>
      </c>
      <c r="D128" s="55"/>
      <c r="E128" s="165"/>
      <c r="F128" s="166"/>
      <c r="G128" s="51"/>
    </row>
    <row r="129" spans="1:7" s="52" customFormat="1" x14ac:dyDescent="0.3">
      <c r="A129" s="54"/>
      <c r="B129" s="54"/>
      <c r="C129" s="153" t="str">
        <f t="shared" si="13"/>
        <v/>
      </c>
      <c r="D129" s="55"/>
      <c r="E129" s="165"/>
      <c r="F129" s="166"/>
      <c r="G129" s="51"/>
    </row>
    <row r="130" spans="1:7" s="52" customFormat="1" x14ac:dyDescent="0.3">
      <c r="A130" s="54" t="s">
        <v>67</v>
      </c>
      <c r="B130" s="54">
        <v>2</v>
      </c>
      <c r="C130" s="153" t="str">
        <f t="shared" si="13"/>
        <v>0h10min</v>
      </c>
      <c r="D130" s="55"/>
      <c r="E130" s="271"/>
      <c r="F130" s="272"/>
      <c r="G130" s="51"/>
    </row>
    <row r="131" spans="1:7" s="52" customFormat="1" ht="27" x14ac:dyDescent="0.3">
      <c r="A131" s="54" t="s">
        <v>59</v>
      </c>
      <c r="B131" s="54">
        <v>18</v>
      </c>
      <c r="C131" s="153" t="str">
        <f t="shared" si="13"/>
        <v>1h30min</v>
      </c>
      <c r="D131" s="55"/>
      <c r="E131" s="165"/>
      <c r="F131" s="166"/>
      <c r="G131" s="51"/>
    </row>
    <row r="132" spans="1:7" s="52" customFormat="1" x14ac:dyDescent="0.3">
      <c r="A132" s="54" t="s">
        <v>42</v>
      </c>
      <c r="B132" s="54">
        <v>6</v>
      </c>
      <c r="C132" s="153" t="str">
        <f t="shared" si="13"/>
        <v>0h30min</v>
      </c>
      <c r="D132" s="55"/>
      <c r="E132" s="165"/>
      <c r="F132" s="166"/>
      <c r="G132" s="51"/>
    </row>
    <row r="133" spans="1:7" s="52" customFormat="1" x14ac:dyDescent="0.3">
      <c r="A133" s="183" t="s">
        <v>42</v>
      </c>
      <c r="B133" s="184">
        <v>2</v>
      </c>
      <c r="C133" s="153" t="str">
        <f t="shared" si="13"/>
        <v>0h10min</v>
      </c>
      <c r="D133" s="55"/>
      <c r="E133" s="165"/>
      <c r="F133" s="166"/>
      <c r="G133" s="51"/>
    </row>
    <row r="134" spans="1:7" s="52" customFormat="1" ht="27.75" thickBot="1" x14ac:dyDescent="0.35">
      <c r="A134" s="183" t="s">
        <v>68</v>
      </c>
      <c r="B134" s="184">
        <v>2</v>
      </c>
      <c r="C134" s="153" t="str">
        <f t="shared" si="13"/>
        <v>0h10min</v>
      </c>
      <c r="D134" s="55"/>
      <c r="E134" s="271"/>
      <c r="F134" s="272"/>
      <c r="G134" s="51"/>
    </row>
    <row r="135" spans="1:7" s="52" customFormat="1" ht="15" thickBot="1" x14ac:dyDescent="0.35">
      <c r="A135" s="111" t="s">
        <v>26</v>
      </c>
      <c r="B135" s="84">
        <f>SUM(B123:B134)</f>
        <v>48</v>
      </c>
      <c r="C135" s="111" t="str">
        <f xml:space="preserve"> setValueToTime(B135)</f>
        <v>4h</v>
      </c>
      <c r="D135" s="120"/>
      <c r="E135" s="265"/>
      <c r="F135" s="266"/>
      <c r="G135" s="51"/>
    </row>
    <row r="136" spans="1:7" s="59" customFormat="1" ht="15" thickBot="1" x14ac:dyDescent="0.35">
      <c r="A136" s="79"/>
      <c r="B136" s="79"/>
      <c r="C136" s="79"/>
      <c r="D136" s="79"/>
      <c r="E136" s="79"/>
      <c r="F136" s="79"/>
      <c r="G136" s="58"/>
    </row>
    <row r="137" spans="1:7" s="47" customFormat="1" ht="30" customHeight="1" thickBot="1" x14ac:dyDescent="0.3">
      <c r="A137" s="81" t="s">
        <v>11</v>
      </c>
      <c r="B137" s="163">
        <v>13</v>
      </c>
      <c r="C137" s="163"/>
      <c r="D137" s="82" t="s">
        <v>14</v>
      </c>
      <c r="E137" s="94">
        <v>45068</v>
      </c>
      <c r="F137" s="126" t="s">
        <v>71</v>
      </c>
      <c r="G137" s="46"/>
    </row>
    <row r="138" spans="1:7" s="47" customFormat="1" ht="30" customHeight="1" thickBot="1" x14ac:dyDescent="0.3">
      <c r="A138" s="80" t="s">
        <v>5</v>
      </c>
      <c r="B138" s="150" t="s">
        <v>37</v>
      </c>
      <c r="C138" s="151"/>
      <c r="D138" s="80" t="s">
        <v>12</v>
      </c>
      <c r="E138" s="267" t="s">
        <v>13</v>
      </c>
      <c r="F138" s="268"/>
      <c r="G138" s="46"/>
    </row>
    <row r="139" spans="1:7" s="52" customFormat="1" ht="27" x14ac:dyDescent="0.3">
      <c r="A139" s="48" t="s">
        <v>44</v>
      </c>
      <c r="B139" s="49">
        <v>2</v>
      </c>
      <c r="C139" s="152" t="str">
        <f xml:space="preserve"> IF(B139="","",setValueToTime(B139))</f>
        <v>0h10min</v>
      </c>
      <c r="D139" s="50"/>
      <c r="E139" s="269"/>
      <c r="F139" s="270"/>
      <c r="G139" s="51"/>
    </row>
    <row r="140" spans="1:7" s="52" customFormat="1" x14ac:dyDescent="0.3">
      <c r="A140" s="53" t="s">
        <v>45</v>
      </c>
      <c r="B140" s="54">
        <v>34</v>
      </c>
      <c r="C140" s="153" t="str">
        <f xml:space="preserve"> IF(B140="","",setValueToTime(B140))</f>
        <v>2h50min</v>
      </c>
      <c r="D140" s="185"/>
      <c r="E140" s="186"/>
      <c r="F140" s="187"/>
      <c r="G140" s="51"/>
    </row>
    <row r="141" spans="1:7" s="52" customFormat="1" ht="27.75" thickBot="1" x14ac:dyDescent="0.35">
      <c r="A141" s="53" t="s">
        <v>126</v>
      </c>
      <c r="B141" s="54">
        <v>2</v>
      </c>
      <c r="C141" s="153" t="str">
        <f t="shared" ref="C141" si="14" xml:space="preserve"> IF(B141="","",setValueToTime(B141))</f>
        <v>0h10min</v>
      </c>
      <c r="D141" s="55" t="s">
        <v>127</v>
      </c>
      <c r="E141" s="271"/>
      <c r="F141" s="272"/>
      <c r="G141" s="51"/>
    </row>
    <row r="142" spans="1:7" s="52" customFormat="1" ht="15" thickBot="1" x14ac:dyDescent="0.35">
      <c r="A142" s="111" t="s">
        <v>26</v>
      </c>
      <c r="B142" s="84">
        <f>SUM(B139:B141)</f>
        <v>38</v>
      </c>
      <c r="C142" s="111" t="str">
        <f xml:space="preserve"> setValueToTime(B142)</f>
        <v>3h10min</v>
      </c>
      <c r="D142" s="120"/>
      <c r="E142" s="265"/>
      <c r="F142" s="266"/>
      <c r="G142" s="51"/>
    </row>
    <row r="143" spans="1:7" s="59" customFormat="1" ht="15" thickBot="1" x14ac:dyDescent="0.35">
      <c r="A143" s="79"/>
      <c r="B143" s="79"/>
      <c r="C143" s="79"/>
      <c r="D143" s="79"/>
      <c r="E143" s="79"/>
      <c r="F143" s="79"/>
      <c r="G143" s="58"/>
    </row>
    <row r="144" spans="1:7" s="47" customFormat="1" ht="30" customHeight="1" thickBot="1" x14ac:dyDescent="0.3">
      <c r="A144" s="81" t="s">
        <v>11</v>
      </c>
      <c r="B144" s="163">
        <v>12</v>
      </c>
      <c r="C144" s="163"/>
      <c r="D144" s="82" t="s">
        <v>14</v>
      </c>
      <c r="E144" s="94">
        <v>45068</v>
      </c>
      <c r="F144" s="126" t="s">
        <v>69</v>
      </c>
      <c r="G144" s="46"/>
    </row>
    <row r="145" spans="1:7" s="47" customFormat="1" ht="30" customHeight="1" thickBot="1" x14ac:dyDescent="0.3">
      <c r="A145" s="80" t="s">
        <v>5</v>
      </c>
      <c r="B145" s="150" t="s">
        <v>37</v>
      </c>
      <c r="C145" s="151"/>
      <c r="D145" s="80" t="s">
        <v>12</v>
      </c>
      <c r="E145" s="267" t="s">
        <v>13</v>
      </c>
      <c r="F145" s="268"/>
      <c r="G145" s="46"/>
    </row>
    <row r="146" spans="1:7" s="52" customFormat="1" ht="27" x14ac:dyDescent="0.3">
      <c r="A146" s="48" t="s">
        <v>44</v>
      </c>
      <c r="B146" s="49">
        <v>2</v>
      </c>
      <c r="C146" s="152" t="str">
        <f xml:space="preserve"> IF(B146="","",setValueToTime(B146))</f>
        <v>0h10min</v>
      </c>
      <c r="D146" s="50"/>
      <c r="E146" s="269"/>
      <c r="F146" s="270"/>
      <c r="G146" s="51"/>
    </row>
    <row r="147" spans="1:7" s="52" customFormat="1" x14ac:dyDescent="0.3">
      <c r="A147" s="53"/>
      <c r="B147" s="54"/>
      <c r="C147" s="153" t="str">
        <f t="shared" ref="C147:C154" si="15" xml:space="preserve"> IF(B147="","",setValueToTime(B147))</f>
        <v/>
      </c>
      <c r="D147" s="55"/>
      <c r="E147" s="271"/>
      <c r="F147" s="272"/>
      <c r="G147" s="51"/>
    </row>
    <row r="148" spans="1:7" s="52" customFormat="1" x14ac:dyDescent="0.3">
      <c r="A148" s="54" t="s">
        <v>42</v>
      </c>
      <c r="B148" s="54">
        <v>12</v>
      </c>
      <c r="C148" s="153" t="str">
        <f t="shared" si="15"/>
        <v>1h</v>
      </c>
      <c r="D148" s="55"/>
      <c r="E148" s="271"/>
      <c r="F148" s="272"/>
      <c r="G148" s="51"/>
    </row>
    <row r="149" spans="1:7" s="52" customFormat="1" ht="27" x14ac:dyDescent="0.3">
      <c r="A149" s="54" t="s">
        <v>68</v>
      </c>
      <c r="B149" s="54">
        <v>4</v>
      </c>
      <c r="C149" s="153" t="str">
        <f t="shared" si="15"/>
        <v>0h20min</v>
      </c>
      <c r="D149" s="55"/>
      <c r="E149" s="271"/>
      <c r="F149" s="272"/>
      <c r="G149" s="51"/>
    </row>
    <row r="150" spans="1:7" s="52" customFormat="1" x14ac:dyDescent="0.3">
      <c r="A150" s="54"/>
      <c r="B150" s="54"/>
      <c r="C150" s="153"/>
      <c r="D150" s="55"/>
      <c r="E150" s="178"/>
      <c r="F150" s="179"/>
      <c r="G150" s="51"/>
    </row>
    <row r="151" spans="1:7" s="52" customFormat="1" x14ac:dyDescent="0.3">
      <c r="A151" s="53" t="s">
        <v>67</v>
      </c>
      <c r="B151" s="54">
        <v>1</v>
      </c>
      <c r="C151" s="154" t="str">
        <f t="shared" si="15"/>
        <v>0h5min</v>
      </c>
      <c r="D151" s="55"/>
      <c r="E151" s="271"/>
      <c r="F151" s="272"/>
      <c r="G151" s="51"/>
    </row>
    <row r="152" spans="1:7" s="52" customFormat="1" ht="27" x14ac:dyDescent="0.3">
      <c r="A152" s="54" t="s">
        <v>56</v>
      </c>
      <c r="B152" s="54">
        <v>14</v>
      </c>
      <c r="C152" s="154" t="str">
        <f t="shared" si="15"/>
        <v>1h10min</v>
      </c>
      <c r="D152" s="55"/>
      <c r="E152" s="271"/>
      <c r="F152" s="272"/>
      <c r="G152" s="51"/>
    </row>
    <row r="153" spans="1:7" s="52" customFormat="1" x14ac:dyDescent="0.3">
      <c r="A153" s="54" t="s">
        <v>42</v>
      </c>
      <c r="B153" s="54">
        <v>3</v>
      </c>
      <c r="C153" s="154" t="str">
        <f t="shared" si="15"/>
        <v>0h15min</v>
      </c>
      <c r="D153" s="55"/>
      <c r="E153" s="271"/>
      <c r="F153" s="272"/>
      <c r="G153" s="51"/>
    </row>
    <row r="154" spans="1:7" s="52" customFormat="1" ht="27.75" thickBot="1" x14ac:dyDescent="0.35">
      <c r="A154" s="54" t="s">
        <v>68</v>
      </c>
      <c r="B154" s="54">
        <v>2</v>
      </c>
      <c r="C154" s="155" t="str">
        <f t="shared" si="15"/>
        <v>0h10min</v>
      </c>
      <c r="D154" s="57"/>
      <c r="E154" s="273"/>
      <c r="F154" s="274"/>
      <c r="G154" s="51"/>
    </row>
    <row r="155" spans="1:7" s="52" customFormat="1" ht="15" thickBot="1" x14ac:dyDescent="0.35">
      <c r="A155" s="111" t="s">
        <v>26</v>
      </c>
      <c r="B155" s="84">
        <f>SUM(B146:B154)</f>
        <v>38</v>
      </c>
      <c r="C155" s="111" t="str">
        <f xml:space="preserve"> setValueToTime(B155)</f>
        <v>3h10min</v>
      </c>
      <c r="D155" s="120"/>
      <c r="E155" s="265"/>
      <c r="F155" s="266"/>
      <c r="G155" s="51"/>
    </row>
    <row r="156" spans="1:7" s="59" customFormat="1" ht="15" thickBot="1" x14ac:dyDescent="0.35">
      <c r="A156" s="79"/>
      <c r="B156" s="79"/>
      <c r="C156" s="79"/>
      <c r="D156" s="79"/>
      <c r="E156" s="79"/>
      <c r="F156" s="79"/>
      <c r="G156" s="58"/>
    </row>
    <row r="157" spans="1:7" s="47" customFormat="1" ht="30" customHeight="1" thickBot="1" x14ac:dyDescent="0.3">
      <c r="A157" s="81" t="s">
        <v>11</v>
      </c>
      <c r="B157" s="163">
        <v>11</v>
      </c>
      <c r="C157" s="163"/>
      <c r="D157" s="82" t="s">
        <v>14</v>
      </c>
      <c r="E157" s="94">
        <v>45063</v>
      </c>
      <c r="F157" s="126" t="s">
        <v>71</v>
      </c>
      <c r="G157" s="46"/>
    </row>
    <row r="158" spans="1:7" s="47" customFormat="1" ht="30" customHeight="1" thickBot="1" x14ac:dyDescent="0.3">
      <c r="A158" s="80" t="s">
        <v>5</v>
      </c>
      <c r="B158" s="150" t="s">
        <v>37</v>
      </c>
      <c r="C158" s="151"/>
      <c r="D158" s="80" t="s">
        <v>12</v>
      </c>
      <c r="E158" s="267" t="s">
        <v>13</v>
      </c>
      <c r="F158" s="268"/>
      <c r="G158" s="46"/>
    </row>
    <row r="159" spans="1:7" s="52" customFormat="1" ht="27" x14ac:dyDescent="0.3">
      <c r="A159" s="48" t="s">
        <v>44</v>
      </c>
      <c r="B159" s="49">
        <v>2</v>
      </c>
      <c r="C159" s="152" t="str">
        <f xml:space="preserve"> IF(B159="","",setValueToTime(B159))</f>
        <v>0h10min</v>
      </c>
      <c r="D159" s="50"/>
      <c r="E159" s="269"/>
      <c r="F159" s="270"/>
      <c r="G159" s="51"/>
    </row>
    <row r="160" spans="1:7" s="52" customFormat="1" x14ac:dyDescent="0.3">
      <c r="A160" s="53" t="s">
        <v>45</v>
      </c>
      <c r="B160" s="54">
        <v>22</v>
      </c>
      <c r="C160" s="153" t="str">
        <f t="shared" ref="C160:C163" si="16" xml:space="preserve"> IF(B160="","",setValueToTime(B160))</f>
        <v>1h50min</v>
      </c>
      <c r="D160" s="55"/>
      <c r="E160" s="271"/>
      <c r="F160" s="272"/>
      <c r="G160" s="51"/>
    </row>
    <row r="161" spans="1:7" s="52" customFormat="1" ht="27" x14ac:dyDescent="0.3">
      <c r="A161" s="53" t="s">
        <v>126</v>
      </c>
      <c r="B161" s="54">
        <v>2</v>
      </c>
      <c r="C161" s="153" t="str">
        <f t="shared" si="16"/>
        <v>0h10min</v>
      </c>
      <c r="D161" s="55" t="s">
        <v>127</v>
      </c>
      <c r="E161" s="203"/>
      <c r="F161" s="204"/>
      <c r="G161" s="51"/>
    </row>
    <row r="162" spans="1:7" s="52" customFormat="1" x14ac:dyDescent="0.3">
      <c r="A162" s="53"/>
      <c r="B162" s="54"/>
      <c r="C162" s="153" t="str">
        <f t="shared" si="16"/>
        <v/>
      </c>
      <c r="D162" s="55"/>
      <c r="E162" s="271"/>
      <c r="F162" s="272"/>
      <c r="G162" s="51"/>
    </row>
    <row r="163" spans="1:7" s="52" customFormat="1" ht="27.75" thickBot="1" x14ac:dyDescent="0.35">
      <c r="A163" s="53" t="s">
        <v>47</v>
      </c>
      <c r="B163" s="54">
        <v>12</v>
      </c>
      <c r="C163" s="154" t="str">
        <f t="shared" si="16"/>
        <v>1h</v>
      </c>
      <c r="D163" s="55"/>
      <c r="E163" s="271"/>
      <c r="F163" s="272"/>
      <c r="G163" s="51"/>
    </row>
    <row r="164" spans="1:7" s="52" customFormat="1" ht="15" thickBot="1" x14ac:dyDescent="0.35">
      <c r="A164" s="111" t="s">
        <v>26</v>
      </c>
      <c r="B164" s="84">
        <f>SUM(B159:B163)</f>
        <v>38</v>
      </c>
      <c r="C164" s="111" t="str">
        <f xml:space="preserve"> setValueToTime(B164)</f>
        <v>3h10min</v>
      </c>
      <c r="D164" s="120"/>
      <c r="E164" s="265"/>
      <c r="F164" s="266"/>
      <c r="G164" s="51"/>
    </row>
    <row r="165" spans="1:7" s="59" customFormat="1" ht="15" thickBot="1" x14ac:dyDescent="0.35">
      <c r="A165" s="79"/>
      <c r="B165" s="79"/>
      <c r="C165" s="79"/>
      <c r="D165" s="79"/>
      <c r="E165" s="79"/>
      <c r="F165" s="79"/>
      <c r="G165" s="58"/>
    </row>
    <row r="166" spans="1:7" s="47" customFormat="1" ht="30" customHeight="1" thickBot="1" x14ac:dyDescent="0.3">
      <c r="A166" s="81" t="s">
        <v>11</v>
      </c>
      <c r="B166" s="163">
        <v>10</v>
      </c>
      <c r="C166" s="163"/>
      <c r="D166" s="82" t="s">
        <v>14</v>
      </c>
      <c r="E166" s="94">
        <v>45063</v>
      </c>
      <c r="F166" s="126" t="s">
        <v>72</v>
      </c>
      <c r="G166" s="46"/>
    </row>
    <row r="167" spans="1:7" s="47" customFormat="1" ht="30" customHeight="1" thickBot="1" x14ac:dyDescent="0.3">
      <c r="A167" s="80" t="s">
        <v>5</v>
      </c>
      <c r="B167" s="150" t="s">
        <v>37</v>
      </c>
      <c r="C167" s="151"/>
      <c r="D167" s="80" t="s">
        <v>12</v>
      </c>
      <c r="E167" s="267" t="s">
        <v>13</v>
      </c>
      <c r="F167" s="268"/>
      <c r="G167" s="46"/>
    </row>
    <row r="168" spans="1:7" s="52" customFormat="1" ht="27" x14ac:dyDescent="0.3">
      <c r="A168" s="48" t="s">
        <v>44</v>
      </c>
      <c r="B168" s="49">
        <v>2</v>
      </c>
      <c r="C168" s="153" t="str">
        <f t="shared" ref="C168:C172" si="17" xml:space="preserve"> IF(B168="","",setValueToTime(B168))</f>
        <v>0h10min</v>
      </c>
      <c r="D168" s="50"/>
      <c r="E168" s="269"/>
      <c r="F168" s="270"/>
      <c r="G168" s="51"/>
    </row>
    <row r="169" spans="1:7" s="52" customFormat="1" x14ac:dyDescent="0.3">
      <c r="A169" s="183" t="s">
        <v>45</v>
      </c>
      <c r="B169" s="184">
        <v>12</v>
      </c>
      <c r="C169" s="153" t="str">
        <f t="shared" si="17"/>
        <v>1h</v>
      </c>
      <c r="D169" s="185"/>
      <c r="E169" s="186"/>
      <c r="F169" s="187"/>
      <c r="G169" s="51"/>
    </row>
    <row r="170" spans="1:7" s="52" customFormat="1" x14ac:dyDescent="0.3">
      <c r="A170" s="183"/>
      <c r="B170" s="184"/>
      <c r="C170" s="153" t="str">
        <f t="shared" si="17"/>
        <v/>
      </c>
      <c r="D170" s="185"/>
      <c r="E170" s="186"/>
      <c r="F170" s="187"/>
      <c r="G170" s="51"/>
    </row>
    <row r="171" spans="1:7" s="52" customFormat="1" ht="27" x14ac:dyDescent="0.3">
      <c r="A171" s="183" t="s">
        <v>52</v>
      </c>
      <c r="B171" s="184">
        <v>12</v>
      </c>
      <c r="C171" s="153" t="str">
        <f t="shared" si="17"/>
        <v>1h</v>
      </c>
      <c r="D171" s="185"/>
      <c r="E171" s="186"/>
      <c r="F171" s="187"/>
      <c r="G171" s="51"/>
    </row>
    <row r="172" spans="1:7" s="52" customFormat="1" x14ac:dyDescent="0.3">
      <c r="A172" s="183" t="s">
        <v>42</v>
      </c>
      <c r="B172" s="184">
        <v>8</v>
      </c>
      <c r="C172" s="153" t="str">
        <f t="shared" si="17"/>
        <v>0h40min</v>
      </c>
      <c r="D172" s="185"/>
      <c r="E172" s="186"/>
      <c r="F172" s="187"/>
      <c r="G172" s="51"/>
    </row>
    <row r="173" spans="1:7" s="52" customFormat="1" ht="27" x14ac:dyDescent="0.3">
      <c r="A173" s="53" t="s">
        <v>68</v>
      </c>
      <c r="B173" s="54">
        <v>4</v>
      </c>
      <c r="C173" s="153" t="str">
        <f t="shared" ref="C173:C176" si="18" xml:space="preserve"> IF(B173="","",setValueToTime(B173))</f>
        <v>0h20min</v>
      </c>
      <c r="D173" s="55"/>
      <c r="E173" s="271"/>
      <c r="F173" s="272"/>
      <c r="G173" s="51"/>
    </row>
    <row r="174" spans="1:7" s="52" customFormat="1" x14ac:dyDescent="0.3">
      <c r="A174" s="53"/>
      <c r="B174" s="54"/>
      <c r="C174" s="153" t="str">
        <f t="shared" si="18"/>
        <v/>
      </c>
      <c r="D174" s="55"/>
      <c r="E174" s="271"/>
      <c r="F174" s="272"/>
      <c r="G174" s="51"/>
    </row>
    <row r="175" spans="1:7" s="52" customFormat="1" x14ac:dyDescent="0.3">
      <c r="A175" s="53" t="s">
        <v>67</v>
      </c>
      <c r="B175" s="54">
        <v>1</v>
      </c>
      <c r="C175" s="153" t="str">
        <f t="shared" si="18"/>
        <v>0h5min</v>
      </c>
      <c r="D175" s="55"/>
      <c r="E175" s="271"/>
      <c r="F175" s="272"/>
      <c r="G175" s="51"/>
    </row>
    <row r="176" spans="1:7" s="52" customFormat="1" ht="27.75" thickBot="1" x14ac:dyDescent="0.35">
      <c r="A176" s="53" t="s">
        <v>47</v>
      </c>
      <c r="B176" s="54">
        <v>9</v>
      </c>
      <c r="C176" s="153" t="str">
        <f t="shared" si="18"/>
        <v>0h45min</v>
      </c>
      <c r="D176" s="55"/>
      <c r="E176" s="271"/>
      <c r="F176" s="272"/>
      <c r="G176" s="51"/>
    </row>
    <row r="177" spans="1:7" s="52" customFormat="1" ht="15" thickBot="1" x14ac:dyDescent="0.35">
      <c r="A177" s="111" t="s">
        <v>26</v>
      </c>
      <c r="B177" s="84">
        <f>SUM(B168:B176)</f>
        <v>48</v>
      </c>
      <c r="C177" s="111" t="str">
        <f xml:space="preserve"> setValueToTime(B177)</f>
        <v>4h</v>
      </c>
      <c r="D177" s="120"/>
      <c r="E177" s="265"/>
      <c r="F177" s="266"/>
      <c r="G177" s="51"/>
    </row>
    <row r="178" spans="1:7" s="59" customFormat="1" ht="15" thickBot="1" x14ac:dyDescent="0.35">
      <c r="A178" s="79"/>
      <c r="B178" s="79"/>
      <c r="C178" s="79"/>
      <c r="D178" s="79"/>
      <c r="E178" s="79"/>
      <c r="F178" s="79"/>
      <c r="G178" s="58"/>
    </row>
    <row r="179" spans="1:7" s="47" customFormat="1" ht="30" customHeight="1" thickBot="1" x14ac:dyDescent="0.3">
      <c r="A179" s="81" t="s">
        <v>11</v>
      </c>
      <c r="B179" s="163">
        <v>9</v>
      </c>
      <c r="C179" s="163"/>
      <c r="D179" s="82" t="s">
        <v>14</v>
      </c>
      <c r="E179" s="94">
        <v>45061</v>
      </c>
      <c r="F179" s="126" t="s">
        <v>71</v>
      </c>
      <c r="G179" s="46"/>
    </row>
    <row r="180" spans="1:7" s="47" customFormat="1" ht="30" customHeight="1" thickBot="1" x14ac:dyDescent="0.3">
      <c r="A180" s="80" t="s">
        <v>5</v>
      </c>
      <c r="B180" s="150" t="s">
        <v>37</v>
      </c>
      <c r="C180" s="151"/>
      <c r="D180" s="80" t="s">
        <v>12</v>
      </c>
      <c r="E180" s="267" t="s">
        <v>13</v>
      </c>
      <c r="F180" s="268"/>
      <c r="G180" s="46"/>
    </row>
    <row r="181" spans="1:7" s="52" customFormat="1" ht="27" x14ac:dyDescent="0.3">
      <c r="A181" s="48" t="s">
        <v>44</v>
      </c>
      <c r="B181" s="49">
        <v>2</v>
      </c>
      <c r="C181" s="153" t="str">
        <f t="shared" ref="C181:C186" si="19" xml:space="preserve"> IF(B181="","",setValueToTime(B181))</f>
        <v>0h10min</v>
      </c>
      <c r="D181" s="50"/>
      <c r="E181" s="269"/>
      <c r="F181" s="270"/>
      <c r="G181" s="51"/>
    </row>
    <row r="182" spans="1:7" s="52" customFormat="1" x14ac:dyDescent="0.3">
      <c r="A182" s="183"/>
      <c r="B182" s="184"/>
      <c r="C182" s="153" t="str">
        <f t="shared" si="19"/>
        <v/>
      </c>
      <c r="D182" s="185"/>
      <c r="E182" s="186"/>
      <c r="F182" s="187"/>
      <c r="G182" s="51"/>
    </row>
    <row r="183" spans="1:7" s="52" customFormat="1" x14ac:dyDescent="0.3">
      <c r="A183" s="183" t="s">
        <v>67</v>
      </c>
      <c r="B183" s="184">
        <v>2</v>
      </c>
      <c r="C183" s="153" t="str">
        <f t="shared" si="19"/>
        <v>0h10min</v>
      </c>
      <c r="D183" s="185"/>
      <c r="E183" s="186"/>
      <c r="F183" s="187"/>
      <c r="G183" s="51"/>
    </row>
    <row r="184" spans="1:7" s="52" customFormat="1" ht="27" x14ac:dyDescent="0.3">
      <c r="A184" s="183" t="s">
        <v>54</v>
      </c>
      <c r="B184" s="184">
        <v>14</v>
      </c>
      <c r="C184" s="153" t="str">
        <f t="shared" si="19"/>
        <v>1h10min</v>
      </c>
      <c r="D184" s="185"/>
      <c r="E184" s="186"/>
      <c r="F184" s="187"/>
      <c r="G184" s="51"/>
    </row>
    <row r="185" spans="1:7" s="52" customFormat="1" x14ac:dyDescent="0.3">
      <c r="A185" s="183" t="s">
        <v>42</v>
      </c>
      <c r="B185" s="184">
        <v>4</v>
      </c>
      <c r="C185" s="153" t="str">
        <f t="shared" si="19"/>
        <v>0h20min</v>
      </c>
      <c r="D185" s="185"/>
      <c r="E185" s="186"/>
      <c r="F185" s="187"/>
      <c r="G185" s="51"/>
    </row>
    <row r="186" spans="1:7" s="52" customFormat="1" ht="27" x14ac:dyDescent="0.3">
      <c r="A186" s="183" t="s">
        <v>68</v>
      </c>
      <c r="B186" s="184">
        <v>2</v>
      </c>
      <c r="C186" s="153" t="str">
        <f t="shared" si="19"/>
        <v>0h10min</v>
      </c>
      <c r="D186" s="185"/>
      <c r="E186" s="186"/>
      <c r="F186" s="187"/>
      <c r="G186" s="51"/>
    </row>
    <row r="187" spans="1:7" s="52" customFormat="1" x14ac:dyDescent="0.3">
      <c r="A187" s="53"/>
      <c r="B187" s="54"/>
      <c r="C187" s="153" t="str">
        <f t="shared" ref="C187:C189" si="20" xml:space="preserve"> IF(B187="","",setValueToTime(B187))</f>
        <v/>
      </c>
      <c r="D187" s="55"/>
      <c r="E187" s="271"/>
      <c r="F187" s="272"/>
      <c r="G187" s="51"/>
    </row>
    <row r="188" spans="1:7" s="52" customFormat="1" x14ac:dyDescent="0.3">
      <c r="A188" s="53" t="s">
        <v>67</v>
      </c>
      <c r="B188" s="54">
        <v>2</v>
      </c>
      <c r="C188" s="153" t="str">
        <f t="shared" si="20"/>
        <v>0h10min</v>
      </c>
      <c r="D188" s="55"/>
      <c r="E188" s="165"/>
      <c r="F188" s="166"/>
      <c r="G188" s="51"/>
    </row>
    <row r="189" spans="1:7" s="52" customFormat="1" ht="27.75" thickBot="1" x14ac:dyDescent="0.35">
      <c r="A189" s="53" t="s">
        <v>52</v>
      </c>
      <c r="B189" s="54">
        <v>12</v>
      </c>
      <c r="C189" s="153" t="str">
        <f t="shared" si="20"/>
        <v>1h</v>
      </c>
      <c r="D189" s="55"/>
      <c r="E189" s="271"/>
      <c r="F189" s="272"/>
      <c r="G189" s="51"/>
    </row>
    <row r="190" spans="1:7" s="52" customFormat="1" ht="15" thickBot="1" x14ac:dyDescent="0.35">
      <c r="A190" s="111" t="s">
        <v>26</v>
      </c>
      <c r="B190" s="84">
        <f>SUM(B181:B189)</f>
        <v>38</v>
      </c>
      <c r="C190" s="111" t="str">
        <f xml:space="preserve"> setValueToTime(B190)</f>
        <v>3h10min</v>
      </c>
      <c r="D190" s="120"/>
      <c r="E190" s="265"/>
      <c r="F190" s="266"/>
      <c r="G190" s="51"/>
    </row>
    <row r="191" spans="1:7" s="59" customFormat="1" ht="15" thickBot="1" x14ac:dyDescent="0.35">
      <c r="A191" s="79"/>
      <c r="B191" s="79"/>
      <c r="C191" s="79"/>
      <c r="D191" s="79"/>
      <c r="E191" s="79"/>
      <c r="F191" s="79"/>
      <c r="G191" s="58"/>
    </row>
    <row r="192" spans="1:7" s="47" customFormat="1" ht="30" customHeight="1" thickBot="1" x14ac:dyDescent="0.3">
      <c r="A192" s="81" t="s">
        <v>11</v>
      </c>
      <c r="B192" s="163">
        <v>8</v>
      </c>
      <c r="C192" s="163"/>
      <c r="D192" s="82" t="s">
        <v>14</v>
      </c>
      <c r="E192" s="94">
        <v>45061</v>
      </c>
      <c r="F192" s="126" t="s">
        <v>69</v>
      </c>
      <c r="G192" s="46"/>
    </row>
    <row r="193" spans="1:7" s="47" customFormat="1" ht="30" customHeight="1" thickBot="1" x14ac:dyDescent="0.3">
      <c r="A193" s="80" t="s">
        <v>5</v>
      </c>
      <c r="B193" s="150" t="s">
        <v>37</v>
      </c>
      <c r="C193" s="151"/>
      <c r="D193" s="80" t="s">
        <v>12</v>
      </c>
      <c r="E193" s="267" t="s">
        <v>13</v>
      </c>
      <c r="F193" s="268"/>
      <c r="G193" s="46"/>
    </row>
    <row r="194" spans="1:7" s="52" customFormat="1" ht="27" x14ac:dyDescent="0.3">
      <c r="A194" s="48" t="s">
        <v>44</v>
      </c>
      <c r="B194" s="49">
        <v>2</v>
      </c>
      <c r="C194" s="152" t="str">
        <f xml:space="preserve"> IF(B194="","",setValueToTime(B194))</f>
        <v>0h10min</v>
      </c>
      <c r="D194" s="50"/>
      <c r="E194" s="269"/>
      <c r="F194" s="270"/>
      <c r="G194" s="51"/>
    </row>
    <row r="195" spans="1:7" s="52" customFormat="1" ht="15" thickBot="1" x14ac:dyDescent="0.35">
      <c r="A195" s="53" t="s">
        <v>45</v>
      </c>
      <c r="B195" s="54">
        <v>36</v>
      </c>
      <c r="C195" s="153" t="str">
        <f t="shared" ref="C195" si="21" xml:space="preserve"> IF(B195="","",setValueToTime(B195))</f>
        <v>3h</v>
      </c>
      <c r="D195" s="55"/>
      <c r="E195" s="271"/>
      <c r="F195" s="272"/>
      <c r="G195" s="51"/>
    </row>
    <row r="196" spans="1:7" s="52" customFormat="1" ht="15" thickBot="1" x14ac:dyDescent="0.35">
      <c r="A196" s="111" t="s">
        <v>26</v>
      </c>
      <c r="B196" s="84">
        <f>SUM(B194:B195)</f>
        <v>38</v>
      </c>
      <c r="C196" s="111" t="str">
        <f xml:space="preserve"> setValueToTime(B196)</f>
        <v>3h10min</v>
      </c>
      <c r="D196" s="120"/>
      <c r="E196" s="265"/>
      <c r="F196" s="266"/>
      <c r="G196" s="51"/>
    </row>
    <row r="197" spans="1:7" s="59" customFormat="1" ht="15" thickBot="1" x14ac:dyDescent="0.35">
      <c r="A197" s="79"/>
      <c r="B197" s="79"/>
      <c r="C197" s="79"/>
      <c r="D197" s="79"/>
      <c r="E197" s="79"/>
      <c r="F197" s="79"/>
      <c r="G197" s="58"/>
    </row>
    <row r="198" spans="1:7" s="47" customFormat="1" ht="30" customHeight="1" thickBot="1" x14ac:dyDescent="0.3">
      <c r="A198" s="81" t="s">
        <v>11</v>
      </c>
      <c r="B198" s="163">
        <v>7</v>
      </c>
      <c r="C198" s="163"/>
      <c r="D198" s="82" t="s">
        <v>14</v>
      </c>
      <c r="E198" s="94">
        <v>45058</v>
      </c>
      <c r="F198" s="126" t="s">
        <v>71</v>
      </c>
      <c r="G198" s="46"/>
    </row>
    <row r="199" spans="1:7" s="47" customFormat="1" ht="30" customHeight="1" thickBot="1" x14ac:dyDescent="0.3">
      <c r="A199" s="80" t="s">
        <v>5</v>
      </c>
      <c r="B199" s="150" t="s">
        <v>37</v>
      </c>
      <c r="C199" s="151"/>
      <c r="D199" s="80" t="s">
        <v>12</v>
      </c>
      <c r="E199" s="267" t="s">
        <v>13</v>
      </c>
      <c r="F199" s="268"/>
      <c r="G199" s="46"/>
    </row>
    <row r="200" spans="1:7" s="52" customFormat="1" ht="27" x14ac:dyDescent="0.3">
      <c r="A200" s="48" t="s">
        <v>44</v>
      </c>
      <c r="B200" s="49">
        <v>2</v>
      </c>
      <c r="C200" s="152" t="str">
        <f xml:space="preserve"> IF(B200="","",setValueToTime(B200))</f>
        <v>0h10min</v>
      </c>
      <c r="D200" s="50"/>
      <c r="E200" s="269"/>
      <c r="F200" s="270"/>
      <c r="G200" s="51"/>
    </row>
    <row r="201" spans="1:7" s="52" customFormat="1" x14ac:dyDescent="0.3">
      <c r="A201" s="183"/>
      <c r="B201" s="184"/>
      <c r="C201" s="153" t="str">
        <f t="shared" ref="C201:C206" si="22" xml:space="preserve"> IF(B201="","",setValueToTime(B201))</f>
        <v/>
      </c>
      <c r="D201" s="185"/>
      <c r="E201" s="186"/>
      <c r="F201" s="187"/>
      <c r="G201" s="51"/>
    </row>
    <row r="202" spans="1:7" s="52" customFormat="1" x14ac:dyDescent="0.3">
      <c r="A202" s="183" t="s">
        <v>67</v>
      </c>
      <c r="B202" s="184">
        <v>1</v>
      </c>
      <c r="C202" s="153" t="str">
        <f t="shared" si="22"/>
        <v>0h5min</v>
      </c>
      <c r="D202" s="185"/>
      <c r="E202" s="186"/>
      <c r="F202" s="187"/>
      <c r="G202" s="51"/>
    </row>
    <row r="203" spans="1:7" s="52" customFormat="1" ht="27" x14ac:dyDescent="0.3">
      <c r="A203" s="183" t="s">
        <v>53</v>
      </c>
      <c r="B203" s="184">
        <v>3</v>
      </c>
      <c r="C203" s="153" t="str">
        <f t="shared" si="22"/>
        <v>0h15min</v>
      </c>
      <c r="D203" s="185"/>
      <c r="E203" s="186"/>
      <c r="F203" s="187"/>
      <c r="G203" s="51"/>
    </row>
    <row r="204" spans="1:7" s="52" customFormat="1" x14ac:dyDescent="0.3">
      <c r="A204" s="183" t="s">
        <v>42</v>
      </c>
      <c r="B204" s="184">
        <v>3</v>
      </c>
      <c r="C204" s="153" t="str">
        <f t="shared" si="22"/>
        <v>0h15min</v>
      </c>
      <c r="D204" s="185"/>
      <c r="E204" s="186"/>
      <c r="F204" s="187"/>
      <c r="G204" s="51"/>
    </row>
    <row r="205" spans="1:7" s="52" customFormat="1" ht="27" x14ac:dyDescent="0.3">
      <c r="A205" s="183" t="s">
        <v>68</v>
      </c>
      <c r="B205" s="184">
        <v>1</v>
      </c>
      <c r="C205" s="153" t="str">
        <f t="shared" si="22"/>
        <v>0h5min</v>
      </c>
      <c r="D205" s="185"/>
      <c r="E205" s="186"/>
      <c r="F205" s="187"/>
      <c r="G205" s="51"/>
    </row>
    <row r="206" spans="1:7" s="52" customFormat="1" x14ac:dyDescent="0.3">
      <c r="A206" s="183"/>
      <c r="B206" s="184"/>
      <c r="C206" s="153" t="str">
        <f t="shared" si="22"/>
        <v/>
      </c>
      <c r="D206" s="185"/>
      <c r="E206" s="186"/>
      <c r="F206" s="187"/>
      <c r="G206" s="51"/>
    </row>
    <row r="207" spans="1:7" s="52" customFormat="1" x14ac:dyDescent="0.3">
      <c r="A207" s="53" t="s">
        <v>67</v>
      </c>
      <c r="B207" s="54">
        <v>1</v>
      </c>
      <c r="C207" s="153" t="str">
        <f t="shared" ref="C207:C210" si="23" xml:space="preserve"> IF(B207="","",setValueToTime(B207))</f>
        <v>0h5min</v>
      </c>
      <c r="D207" s="55"/>
      <c r="E207" s="271"/>
      <c r="F207" s="272"/>
      <c r="G207" s="51"/>
    </row>
    <row r="208" spans="1:7" s="52" customFormat="1" ht="27" x14ac:dyDescent="0.3">
      <c r="A208" s="53" t="s">
        <v>55</v>
      </c>
      <c r="B208" s="54">
        <v>19</v>
      </c>
      <c r="C208" s="153" t="str">
        <f t="shared" si="23"/>
        <v>1h35min</v>
      </c>
      <c r="D208" s="55"/>
      <c r="E208" s="271"/>
      <c r="F208" s="272"/>
      <c r="G208" s="51"/>
    </row>
    <row r="209" spans="1:7" s="52" customFormat="1" x14ac:dyDescent="0.3">
      <c r="A209" s="53" t="s">
        <v>42</v>
      </c>
      <c r="B209" s="54">
        <v>6</v>
      </c>
      <c r="C209" s="153" t="str">
        <f t="shared" si="23"/>
        <v>0h30min</v>
      </c>
      <c r="D209" s="55"/>
      <c r="E209" s="271"/>
      <c r="F209" s="272"/>
      <c r="G209" s="51"/>
    </row>
    <row r="210" spans="1:7" s="52" customFormat="1" ht="27.75" thickBot="1" x14ac:dyDescent="0.35">
      <c r="A210" s="54" t="s">
        <v>68</v>
      </c>
      <c r="B210" s="54">
        <v>2</v>
      </c>
      <c r="C210" s="154" t="str">
        <f t="shared" si="23"/>
        <v>0h10min</v>
      </c>
      <c r="D210" s="55"/>
      <c r="E210" s="271"/>
      <c r="F210" s="272"/>
      <c r="G210" s="51"/>
    </row>
    <row r="211" spans="1:7" s="52" customFormat="1" ht="15" thickBot="1" x14ac:dyDescent="0.35">
      <c r="A211" s="111" t="s">
        <v>26</v>
      </c>
      <c r="B211" s="84">
        <f>SUM(B200:B210)</f>
        <v>38</v>
      </c>
      <c r="C211" s="111" t="str">
        <f xml:space="preserve"> setValueToTime(B211)</f>
        <v>3h10min</v>
      </c>
      <c r="D211" s="120"/>
      <c r="E211" s="265"/>
      <c r="F211" s="266"/>
      <c r="G211" s="51"/>
    </row>
    <row r="212" spans="1:7" s="59" customFormat="1" ht="15" thickBot="1" x14ac:dyDescent="0.35">
      <c r="A212" s="79"/>
      <c r="B212" s="79"/>
      <c r="C212" s="79"/>
      <c r="D212" s="79"/>
      <c r="E212" s="79"/>
      <c r="F212" s="79"/>
      <c r="G212" s="58"/>
    </row>
    <row r="213" spans="1:7" s="47" customFormat="1" ht="30" customHeight="1" thickBot="1" x14ac:dyDescent="0.3">
      <c r="A213" s="81" t="s">
        <v>11</v>
      </c>
      <c r="B213" s="163">
        <v>6</v>
      </c>
      <c r="C213" s="163"/>
      <c r="D213" s="82" t="s">
        <v>14</v>
      </c>
      <c r="E213" s="94">
        <v>45058</v>
      </c>
      <c r="F213" s="126" t="s">
        <v>72</v>
      </c>
      <c r="G213" s="46"/>
    </row>
    <row r="214" spans="1:7" s="47" customFormat="1" ht="30" customHeight="1" thickBot="1" x14ac:dyDescent="0.3">
      <c r="A214" s="80" t="s">
        <v>5</v>
      </c>
      <c r="B214" s="150" t="s">
        <v>37</v>
      </c>
      <c r="C214" s="151"/>
      <c r="D214" s="80" t="s">
        <v>12</v>
      </c>
      <c r="E214" s="267" t="s">
        <v>13</v>
      </c>
      <c r="F214" s="268"/>
      <c r="G214" s="46"/>
    </row>
    <row r="215" spans="1:7" s="52" customFormat="1" ht="27" x14ac:dyDescent="0.3">
      <c r="A215" s="48" t="s">
        <v>44</v>
      </c>
      <c r="B215" s="49">
        <v>2</v>
      </c>
      <c r="C215" s="152" t="str">
        <f xml:space="preserve"> IF(B215="","",setValueToTime(B215))</f>
        <v>0h10min</v>
      </c>
      <c r="D215" s="50"/>
      <c r="E215" s="269"/>
      <c r="F215" s="270"/>
      <c r="G215" s="51"/>
    </row>
    <row r="216" spans="1:7" s="52" customFormat="1" x14ac:dyDescent="0.3">
      <c r="A216" s="53" t="s">
        <v>45</v>
      </c>
      <c r="B216" s="54">
        <v>10</v>
      </c>
      <c r="C216" s="153" t="str">
        <f t="shared" ref="C216:C227" si="24" xml:space="preserve"> IF(B216="","",setValueToTime(B216))</f>
        <v>0h50min</v>
      </c>
      <c r="D216" s="55"/>
      <c r="E216" s="271"/>
      <c r="F216" s="272"/>
      <c r="G216" s="51"/>
    </row>
    <row r="217" spans="1:7" s="52" customFormat="1" ht="27" x14ac:dyDescent="0.3">
      <c r="A217" s="53" t="s">
        <v>126</v>
      </c>
      <c r="B217" s="54">
        <v>2</v>
      </c>
      <c r="C217" s="153" t="str">
        <f t="shared" si="24"/>
        <v>0h10min</v>
      </c>
      <c r="D217" s="55" t="s">
        <v>127</v>
      </c>
      <c r="E217" s="203"/>
      <c r="F217" s="204"/>
      <c r="G217" s="51"/>
    </row>
    <row r="218" spans="1:7" s="52" customFormat="1" x14ac:dyDescent="0.3">
      <c r="A218" s="53"/>
      <c r="B218" s="54"/>
      <c r="C218" s="153" t="str">
        <f t="shared" si="24"/>
        <v/>
      </c>
      <c r="D218" s="55"/>
      <c r="E218" s="271"/>
      <c r="F218" s="272"/>
      <c r="G218" s="51"/>
    </row>
    <row r="219" spans="1:7" s="52" customFormat="1" x14ac:dyDescent="0.3">
      <c r="A219" s="53" t="s">
        <v>67</v>
      </c>
      <c r="B219" s="54">
        <v>1</v>
      </c>
      <c r="C219" s="153" t="str">
        <f t="shared" si="24"/>
        <v>0h5min</v>
      </c>
      <c r="D219" s="55"/>
      <c r="E219" s="271"/>
      <c r="F219" s="272"/>
      <c r="G219" s="51"/>
    </row>
    <row r="220" spans="1:7" s="52" customFormat="1" ht="27" x14ac:dyDescent="0.3">
      <c r="A220" s="54" t="s">
        <v>49</v>
      </c>
      <c r="B220" s="54">
        <v>18</v>
      </c>
      <c r="C220" s="153" t="str">
        <f t="shared" si="24"/>
        <v>1h30min</v>
      </c>
      <c r="D220" s="55"/>
      <c r="E220" s="271"/>
      <c r="F220" s="272"/>
      <c r="G220" s="51"/>
    </row>
    <row r="221" spans="1:7" s="52" customFormat="1" x14ac:dyDescent="0.3">
      <c r="A221" s="54" t="s">
        <v>42</v>
      </c>
      <c r="B221" s="54">
        <v>4</v>
      </c>
      <c r="C221" s="154" t="str">
        <f t="shared" si="24"/>
        <v>0h20min</v>
      </c>
      <c r="D221" s="55"/>
      <c r="E221" s="271"/>
      <c r="F221" s="272"/>
      <c r="G221" s="51"/>
    </row>
    <row r="222" spans="1:7" s="52" customFormat="1" ht="27" x14ac:dyDescent="0.3">
      <c r="A222" s="54" t="s">
        <v>68</v>
      </c>
      <c r="B222" s="54">
        <v>1</v>
      </c>
      <c r="C222" s="154" t="str">
        <f t="shared" si="24"/>
        <v>0h5min</v>
      </c>
      <c r="D222" s="55"/>
      <c r="E222" s="271"/>
      <c r="F222" s="272"/>
      <c r="G222" s="51"/>
    </row>
    <row r="223" spans="1:7" s="52" customFormat="1" x14ac:dyDescent="0.3">
      <c r="A223" s="53"/>
      <c r="B223" s="54"/>
      <c r="C223" s="154" t="str">
        <f t="shared" si="24"/>
        <v/>
      </c>
      <c r="D223" s="180"/>
      <c r="E223" s="181"/>
      <c r="F223" s="182"/>
      <c r="G223" s="51"/>
    </row>
    <row r="224" spans="1:7" s="52" customFormat="1" x14ac:dyDescent="0.3">
      <c r="A224" s="183" t="s">
        <v>67</v>
      </c>
      <c r="B224" s="184">
        <v>1</v>
      </c>
      <c r="C224" s="154" t="str">
        <f t="shared" si="24"/>
        <v>0h5min</v>
      </c>
      <c r="D224" s="180"/>
      <c r="E224" s="181"/>
      <c r="F224" s="182"/>
      <c r="G224" s="51"/>
    </row>
    <row r="225" spans="1:7" s="52" customFormat="1" ht="40.5" x14ac:dyDescent="0.3">
      <c r="A225" s="183" t="s">
        <v>50</v>
      </c>
      <c r="B225" s="184">
        <v>3</v>
      </c>
      <c r="C225" s="154" t="str">
        <f t="shared" si="24"/>
        <v>0h15min</v>
      </c>
      <c r="D225" s="180"/>
      <c r="E225" s="181"/>
      <c r="F225" s="182"/>
      <c r="G225" s="51"/>
    </row>
    <row r="226" spans="1:7" s="52" customFormat="1" x14ac:dyDescent="0.3">
      <c r="A226" s="183" t="s">
        <v>42</v>
      </c>
      <c r="B226" s="184">
        <v>5</v>
      </c>
      <c r="C226" s="154" t="str">
        <f t="shared" si="24"/>
        <v>0h25min</v>
      </c>
      <c r="D226" s="180"/>
      <c r="E226" s="181"/>
      <c r="F226" s="182"/>
      <c r="G226" s="51"/>
    </row>
    <row r="227" spans="1:7" s="52" customFormat="1" ht="27.75" thickBot="1" x14ac:dyDescent="0.35">
      <c r="A227" s="183" t="s">
        <v>68</v>
      </c>
      <c r="B227" s="184">
        <v>1</v>
      </c>
      <c r="C227" s="154" t="str">
        <f t="shared" si="24"/>
        <v>0h5min</v>
      </c>
      <c r="D227" s="180"/>
      <c r="E227" s="181"/>
      <c r="F227" s="182"/>
      <c r="G227" s="51"/>
    </row>
    <row r="228" spans="1:7" s="52" customFormat="1" ht="15" thickBot="1" x14ac:dyDescent="0.35">
      <c r="A228" s="111" t="s">
        <v>26</v>
      </c>
      <c r="B228" s="84">
        <f>SUM(B215:B227)</f>
        <v>48</v>
      </c>
      <c r="C228" s="111" t="str">
        <f xml:space="preserve"> setValueToTime(B228)</f>
        <v>4h</v>
      </c>
      <c r="D228" s="120"/>
      <c r="E228" s="265"/>
      <c r="F228" s="266"/>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5</v>
      </c>
      <c r="C230" s="163"/>
      <c r="D230" s="82" t="s">
        <v>14</v>
      </c>
      <c r="E230" s="94">
        <v>45057</v>
      </c>
      <c r="F230" s="126" t="s">
        <v>71</v>
      </c>
      <c r="G230" s="46"/>
    </row>
    <row r="231" spans="1:7" s="47" customFormat="1" ht="30" customHeight="1" thickBot="1" x14ac:dyDescent="0.3">
      <c r="A231" s="80" t="s">
        <v>5</v>
      </c>
      <c r="B231" s="150" t="s">
        <v>37</v>
      </c>
      <c r="C231" s="151"/>
      <c r="D231" s="80" t="s">
        <v>12</v>
      </c>
      <c r="E231" s="267" t="s">
        <v>13</v>
      </c>
      <c r="F231" s="268"/>
      <c r="G231" s="46"/>
    </row>
    <row r="232" spans="1:7" s="52" customFormat="1" ht="27" x14ac:dyDescent="0.3">
      <c r="A232" s="48" t="s">
        <v>44</v>
      </c>
      <c r="B232" s="49">
        <v>2</v>
      </c>
      <c r="C232" s="152" t="str">
        <f xml:space="preserve"> IF(B232="","",setValueToTime(B232))</f>
        <v>0h10min</v>
      </c>
      <c r="D232" s="50"/>
      <c r="E232" s="269"/>
      <c r="F232" s="270"/>
      <c r="G232" s="51"/>
    </row>
    <row r="233" spans="1:7" s="52" customFormat="1" x14ac:dyDescent="0.3">
      <c r="A233" s="53"/>
      <c r="B233" s="54"/>
      <c r="C233" s="153" t="str">
        <f t="shared" ref="C233:C234" si="25" xml:space="preserve"> IF(B233="","",setValueToTime(B233))</f>
        <v/>
      </c>
      <c r="D233" s="55"/>
      <c r="E233" s="271"/>
      <c r="F233" s="272"/>
      <c r="G233" s="51"/>
    </row>
    <row r="234" spans="1:7" s="52" customFormat="1" x14ac:dyDescent="0.3">
      <c r="A234" s="183" t="s">
        <v>67</v>
      </c>
      <c r="B234" s="54">
        <v>2</v>
      </c>
      <c r="C234" s="153" t="str">
        <f t="shared" si="25"/>
        <v>0h10min</v>
      </c>
      <c r="D234" s="55"/>
      <c r="E234" s="178"/>
      <c r="F234" s="179"/>
      <c r="G234" s="51"/>
    </row>
    <row r="235" spans="1:7" s="52" customFormat="1" ht="27" x14ac:dyDescent="0.3">
      <c r="A235" s="53" t="s">
        <v>51</v>
      </c>
      <c r="B235" s="54">
        <v>9</v>
      </c>
      <c r="C235" s="153" t="str">
        <f t="shared" ref="C235:C242" si="26" xml:space="preserve"> IF(B235="","",setValueToTime(B235))</f>
        <v>0h45min</v>
      </c>
      <c r="D235" s="55" t="s">
        <v>120</v>
      </c>
      <c r="E235" s="178"/>
      <c r="F235" s="179"/>
      <c r="G235" s="51"/>
    </row>
    <row r="236" spans="1:7" s="52" customFormat="1" x14ac:dyDescent="0.3">
      <c r="A236" s="53" t="s">
        <v>42</v>
      </c>
      <c r="B236" s="54">
        <v>4</v>
      </c>
      <c r="C236" s="153" t="str">
        <f t="shared" si="26"/>
        <v>0h20min</v>
      </c>
      <c r="D236" s="55" t="s">
        <v>120</v>
      </c>
      <c r="E236" s="178"/>
      <c r="F236" s="179"/>
      <c r="G236" s="51"/>
    </row>
    <row r="237" spans="1:7" s="52" customFormat="1" ht="27" x14ac:dyDescent="0.3">
      <c r="A237" s="53" t="s">
        <v>68</v>
      </c>
      <c r="B237" s="54">
        <v>2</v>
      </c>
      <c r="C237" s="153" t="str">
        <f t="shared" si="26"/>
        <v>0h10min</v>
      </c>
      <c r="D237" s="55" t="s">
        <v>121</v>
      </c>
      <c r="E237" s="178"/>
      <c r="F237" s="179"/>
      <c r="G237" s="51"/>
    </row>
    <row r="238" spans="1:7" s="52" customFormat="1" x14ac:dyDescent="0.3">
      <c r="A238" s="53"/>
      <c r="B238" s="54"/>
      <c r="C238" s="153" t="str">
        <f t="shared" si="26"/>
        <v/>
      </c>
      <c r="D238" s="55"/>
      <c r="E238" s="178"/>
      <c r="F238" s="179"/>
      <c r="G238" s="51"/>
    </row>
    <row r="239" spans="1:7" s="52" customFormat="1" x14ac:dyDescent="0.3">
      <c r="A239" s="53" t="s">
        <v>67</v>
      </c>
      <c r="B239" s="54">
        <v>1</v>
      </c>
      <c r="C239" s="153" t="str">
        <f t="shared" si="26"/>
        <v>0h5min</v>
      </c>
      <c r="D239" s="55"/>
      <c r="E239" s="271"/>
      <c r="F239" s="272"/>
      <c r="G239" s="51"/>
    </row>
    <row r="240" spans="1:7" s="52" customFormat="1" ht="27" x14ac:dyDescent="0.3">
      <c r="A240" s="53" t="s">
        <v>48</v>
      </c>
      <c r="B240" s="54">
        <v>9</v>
      </c>
      <c r="C240" s="153" t="str">
        <f t="shared" si="26"/>
        <v>0h45min</v>
      </c>
      <c r="D240" s="55"/>
      <c r="E240" s="271"/>
      <c r="F240" s="272"/>
      <c r="G240" s="51"/>
    </row>
    <row r="241" spans="1:7" s="52" customFormat="1" x14ac:dyDescent="0.3">
      <c r="A241" s="54" t="s">
        <v>42</v>
      </c>
      <c r="B241" s="54">
        <v>7</v>
      </c>
      <c r="C241" s="154" t="str">
        <f t="shared" si="26"/>
        <v>0h35min</v>
      </c>
      <c r="D241" s="55"/>
      <c r="E241" s="271"/>
      <c r="F241" s="272"/>
      <c r="G241" s="51"/>
    </row>
    <row r="242" spans="1:7" s="52" customFormat="1" ht="27.75" thickBot="1" x14ac:dyDescent="0.35">
      <c r="A242" s="54" t="s">
        <v>68</v>
      </c>
      <c r="B242" s="54">
        <v>2</v>
      </c>
      <c r="C242" s="154" t="str">
        <f t="shared" si="26"/>
        <v>0h10min</v>
      </c>
      <c r="D242" s="55"/>
      <c r="E242" s="271"/>
      <c r="F242" s="272"/>
      <c r="G242" s="51"/>
    </row>
    <row r="243" spans="1:7" s="52" customFormat="1" ht="15" thickBot="1" x14ac:dyDescent="0.35">
      <c r="A243" s="111" t="s">
        <v>26</v>
      </c>
      <c r="B243" s="84">
        <f>SUM(B232:B242)</f>
        <v>38</v>
      </c>
      <c r="C243" s="111" t="str">
        <f xml:space="preserve"> setValueToTime(B243)</f>
        <v>3h10min</v>
      </c>
      <c r="D243" s="120"/>
      <c r="E243" s="265"/>
      <c r="F243" s="266"/>
      <c r="G243" s="51"/>
    </row>
    <row r="244" spans="1:7" s="59" customFormat="1" ht="15" thickBot="1" x14ac:dyDescent="0.35">
      <c r="A244" s="79"/>
      <c r="B244" s="79"/>
      <c r="C244" s="79"/>
      <c r="D244" s="79"/>
      <c r="E244" s="79"/>
      <c r="F244" s="79"/>
      <c r="G244" s="58"/>
    </row>
    <row r="245" spans="1:7" s="47" customFormat="1" ht="30" customHeight="1" thickBot="1" x14ac:dyDescent="0.3">
      <c r="A245" s="81" t="s">
        <v>11</v>
      </c>
      <c r="B245" s="163">
        <v>4</v>
      </c>
      <c r="C245" s="163"/>
      <c r="D245" s="82" t="s">
        <v>14</v>
      </c>
      <c r="E245" s="94">
        <v>45056</v>
      </c>
      <c r="F245" s="126" t="s">
        <v>71</v>
      </c>
      <c r="G245" s="46"/>
    </row>
    <row r="246" spans="1:7" s="47" customFormat="1" ht="30" customHeight="1" thickBot="1" x14ac:dyDescent="0.3">
      <c r="A246" s="80" t="s">
        <v>5</v>
      </c>
      <c r="B246" s="150" t="s">
        <v>37</v>
      </c>
      <c r="C246" s="151"/>
      <c r="D246" s="80" t="s">
        <v>12</v>
      </c>
      <c r="E246" s="267" t="s">
        <v>13</v>
      </c>
      <c r="F246" s="268"/>
      <c r="G246" s="46"/>
    </row>
    <row r="247" spans="1:7" s="52" customFormat="1" ht="27" x14ac:dyDescent="0.3">
      <c r="A247" s="48" t="s">
        <v>44</v>
      </c>
      <c r="B247" s="49">
        <v>2</v>
      </c>
      <c r="C247" s="152" t="str">
        <f xml:space="preserve"> IF(B247="","",setValueToTime(B247))</f>
        <v>0h10min</v>
      </c>
      <c r="D247" s="50"/>
      <c r="E247" s="269"/>
      <c r="F247" s="270"/>
      <c r="G247" s="51"/>
    </row>
    <row r="248" spans="1:7" s="52" customFormat="1" x14ac:dyDescent="0.3">
      <c r="A248" s="183" t="s">
        <v>45</v>
      </c>
      <c r="B248" s="184">
        <v>10</v>
      </c>
      <c r="C248" s="153" t="str">
        <f t="shared" ref="C248:C253" si="27" xml:space="preserve"> IF(B248="","",setValueToTime(B248))</f>
        <v>0h50min</v>
      </c>
      <c r="D248" s="55" t="s">
        <v>122</v>
      </c>
      <c r="E248" s="186"/>
      <c r="F248" s="187"/>
      <c r="G248" s="51"/>
    </row>
    <row r="249" spans="1:7" s="52" customFormat="1" x14ac:dyDescent="0.3">
      <c r="A249" s="183"/>
      <c r="B249" s="184"/>
      <c r="C249" s="153" t="str">
        <f t="shared" si="27"/>
        <v/>
      </c>
      <c r="D249" s="55"/>
      <c r="E249" s="186"/>
      <c r="F249" s="187"/>
      <c r="G249" s="51"/>
    </row>
    <row r="250" spans="1:7" s="52" customFormat="1" x14ac:dyDescent="0.3">
      <c r="A250" s="183" t="s">
        <v>67</v>
      </c>
      <c r="B250" s="184">
        <v>1</v>
      </c>
      <c r="C250" s="153" t="str">
        <f t="shared" si="27"/>
        <v>0h5min</v>
      </c>
      <c r="D250" s="55" t="s">
        <v>116</v>
      </c>
      <c r="E250" s="186"/>
      <c r="F250" s="187"/>
      <c r="G250" s="51"/>
    </row>
    <row r="251" spans="1:7" s="52" customFormat="1" ht="40.5" x14ac:dyDescent="0.3">
      <c r="A251" s="183" t="s">
        <v>112</v>
      </c>
      <c r="B251" s="184">
        <v>18</v>
      </c>
      <c r="C251" s="153" t="str">
        <f t="shared" si="27"/>
        <v>1h30min</v>
      </c>
      <c r="D251" s="55" t="s">
        <v>117</v>
      </c>
      <c r="E251" s="186"/>
      <c r="F251" s="187"/>
      <c r="G251" s="51"/>
    </row>
    <row r="252" spans="1:7" s="52" customFormat="1" x14ac:dyDescent="0.3">
      <c r="A252" s="183" t="s">
        <v>42</v>
      </c>
      <c r="B252" s="184">
        <v>4</v>
      </c>
      <c r="C252" s="153" t="str">
        <f t="shared" si="27"/>
        <v>0h20min</v>
      </c>
      <c r="D252" s="55" t="s">
        <v>118</v>
      </c>
      <c r="E252" s="186"/>
      <c r="F252" s="187"/>
      <c r="G252" s="51"/>
    </row>
    <row r="253" spans="1:7" s="52" customFormat="1" ht="27.75" thickBot="1" x14ac:dyDescent="0.35">
      <c r="A253" s="183" t="s">
        <v>68</v>
      </c>
      <c r="B253" s="184">
        <v>3</v>
      </c>
      <c r="C253" s="153" t="str">
        <f t="shared" si="27"/>
        <v>0h15min</v>
      </c>
      <c r="D253" s="55" t="s">
        <v>119</v>
      </c>
      <c r="E253" s="186"/>
      <c r="F253" s="187"/>
      <c r="G253" s="51"/>
    </row>
    <row r="254" spans="1:7" s="52" customFormat="1" ht="15" thickBot="1" x14ac:dyDescent="0.35">
      <c r="A254" s="111" t="s">
        <v>26</v>
      </c>
      <c r="B254" s="84">
        <f>SUM(B247:B253)</f>
        <v>38</v>
      </c>
      <c r="C254" s="111" t="str">
        <f xml:space="preserve"> setValueToTime(B254)</f>
        <v>3h10min</v>
      </c>
      <c r="D254" s="120"/>
      <c r="E254" s="265"/>
      <c r="F254" s="266"/>
      <c r="G254" s="51"/>
    </row>
    <row r="255" spans="1:7" s="59" customFormat="1" ht="15" thickBot="1" x14ac:dyDescent="0.35">
      <c r="A255" s="79"/>
      <c r="B255" s="79"/>
      <c r="C255" s="79"/>
      <c r="D255" s="79"/>
      <c r="E255" s="79"/>
      <c r="F255" s="79"/>
      <c r="G255" s="58"/>
    </row>
    <row r="256" spans="1:7" s="47" customFormat="1" ht="30" customHeight="1" thickBot="1" x14ac:dyDescent="0.3">
      <c r="A256" s="81" t="s">
        <v>11</v>
      </c>
      <c r="B256" s="163">
        <v>3</v>
      </c>
      <c r="C256" s="163"/>
      <c r="D256" s="82" t="s">
        <v>14</v>
      </c>
      <c r="E256" s="94">
        <v>45056</v>
      </c>
      <c r="F256" s="126" t="s">
        <v>72</v>
      </c>
      <c r="G256" s="46"/>
    </row>
    <row r="257" spans="1:7" s="47" customFormat="1" ht="30" customHeight="1" thickBot="1" x14ac:dyDescent="0.3">
      <c r="A257" s="80" t="s">
        <v>5</v>
      </c>
      <c r="B257" s="150" t="s">
        <v>37</v>
      </c>
      <c r="C257" s="151"/>
      <c r="D257" s="80" t="s">
        <v>12</v>
      </c>
      <c r="E257" s="267" t="s">
        <v>13</v>
      </c>
      <c r="F257" s="268"/>
      <c r="G257" s="46"/>
    </row>
    <row r="258" spans="1:7" s="52" customFormat="1" ht="27" x14ac:dyDescent="0.3">
      <c r="A258" s="48" t="s">
        <v>44</v>
      </c>
      <c r="B258" s="49">
        <v>2</v>
      </c>
      <c r="C258" s="152" t="str">
        <f xml:space="preserve"> IF(B258="","",setValueToTime(B258))</f>
        <v>0h10min</v>
      </c>
      <c r="D258" s="50"/>
      <c r="E258" s="269"/>
      <c r="F258" s="270"/>
      <c r="G258" s="51"/>
    </row>
    <row r="259" spans="1:7" s="52" customFormat="1" ht="54" x14ac:dyDescent="0.3">
      <c r="A259" s="53" t="s">
        <v>45</v>
      </c>
      <c r="B259" s="54">
        <v>23</v>
      </c>
      <c r="C259" s="153" t="str">
        <f t="shared" ref="C259:C260" si="28" xml:space="preserve"> IF(B259="","",setValueToTime(B259))</f>
        <v>1h55min</v>
      </c>
      <c r="D259" s="55" t="s">
        <v>123</v>
      </c>
      <c r="E259" s="271"/>
      <c r="F259" s="272"/>
      <c r="G259" s="51"/>
    </row>
    <row r="260" spans="1:7" s="52" customFormat="1" ht="54.75" thickBot="1" x14ac:dyDescent="0.35">
      <c r="A260" s="53" t="s">
        <v>41</v>
      </c>
      <c r="B260" s="54">
        <v>23</v>
      </c>
      <c r="C260" s="153" t="str">
        <f t="shared" si="28"/>
        <v>1h55min</v>
      </c>
      <c r="D260" s="55" t="s">
        <v>123</v>
      </c>
      <c r="E260" s="165"/>
      <c r="F260" s="166"/>
      <c r="G260" s="51"/>
    </row>
    <row r="261" spans="1:7" s="52" customFormat="1" ht="15" thickBot="1" x14ac:dyDescent="0.35">
      <c r="A261" s="111" t="s">
        <v>26</v>
      </c>
      <c r="B261" s="84">
        <f>SUM(B258:B260)</f>
        <v>48</v>
      </c>
      <c r="C261" s="111" t="str">
        <f xml:space="preserve"> setValueToTime(B261)</f>
        <v>4h</v>
      </c>
      <c r="D261" s="120"/>
      <c r="E261" s="265"/>
      <c r="F261" s="266"/>
      <c r="G261" s="51"/>
    </row>
    <row r="262" spans="1:7" s="59" customFormat="1" ht="15" thickBot="1" x14ac:dyDescent="0.35">
      <c r="A262" s="79"/>
      <c r="B262" s="79"/>
      <c r="C262" s="79"/>
      <c r="D262" s="79"/>
      <c r="E262" s="79"/>
      <c r="F262" s="79"/>
      <c r="G262" s="58"/>
    </row>
    <row r="263" spans="1:7" s="47" customFormat="1" ht="30" customHeight="1" thickBot="1" x14ac:dyDescent="0.3">
      <c r="A263" s="81" t="s">
        <v>11</v>
      </c>
      <c r="B263" s="163">
        <v>2</v>
      </c>
      <c r="C263" s="163"/>
      <c r="D263" s="82" t="s">
        <v>14</v>
      </c>
      <c r="E263" s="94">
        <v>45054</v>
      </c>
      <c r="F263" s="126" t="s">
        <v>71</v>
      </c>
      <c r="G263" s="46"/>
    </row>
    <row r="264" spans="1:7" s="47" customFormat="1" ht="30" customHeight="1" thickBot="1" x14ac:dyDescent="0.3">
      <c r="A264" s="80" t="s">
        <v>5</v>
      </c>
      <c r="B264" s="150" t="s">
        <v>37</v>
      </c>
      <c r="C264" s="151"/>
      <c r="D264" s="80" t="s">
        <v>12</v>
      </c>
      <c r="E264" s="267" t="s">
        <v>13</v>
      </c>
      <c r="F264" s="268"/>
      <c r="G264" s="46"/>
    </row>
    <row r="265" spans="1:7" s="52" customFormat="1" ht="27" x14ac:dyDescent="0.3">
      <c r="A265" s="48" t="s">
        <v>43</v>
      </c>
      <c r="B265" s="49">
        <v>36</v>
      </c>
      <c r="C265" s="152" t="str">
        <f xml:space="preserve"> IF(B265="","",setValueToTime(B265))</f>
        <v>3h</v>
      </c>
      <c r="D265" s="50" t="s">
        <v>70</v>
      </c>
      <c r="E265" s="269"/>
      <c r="F265" s="270"/>
      <c r="G265" s="51"/>
    </row>
    <row r="266" spans="1:7" s="52" customFormat="1" ht="15" thickBot="1" x14ac:dyDescent="0.35">
      <c r="A266" s="53" t="s">
        <v>41</v>
      </c>
      <c r="B266" s="54">
        <v>2</v>
      </c>
      <c r="C266" s="153" t="str">
        <f t="shared" ref="C266" si="29" xml:space="preserve"> IF(B266="","",setValueToTime(B266))</f>
        <v>0h10min</v>
      </c>
      <c r="D266" s="55" t="s">
        <v>113</v>
      </c>
      <c r="E266" s="271"/>
      <c r="F266" s="272"/>
      <c r="G266" s="51"/>
    </row>
    <row r="267" spans="1:7" s="52" customFormat="1" ht="15" thickBot="1" x14ac:dyDescent="0.35">
      <c r="A267" s="111" t="s">
        <v>26</v>
      </c>
      <c r="B267" s="84">
        <f>SUM(B265:B266)</f>
        <v>38</v>
      </c>
      <c r="C267" s="111" t="str">
        <f xml:space="preserve"> setValueToTime(B267)</f>
        <v>3h10min</v>
      </c>
      <c r="D267" s="120"/>
      <c r="E267" s="265"/>
      <c r="F267" s="266"/>
      <c r="G267" s="51"/>
    </row>
    <row r="268" spans="1:7" s="59" customFormat="1" ht="15" thickBot="1" x14ac:dyDescent="0.35">
      <c r="A268" s="79"/>
      <c r="B268" s="79"/>
      <c r="C268" s="79"/>
      <c r="D268" s="79"/>
      <c r="E268" s="79"/>
      <c r="F268" s="79"/>
      <c r="G268" s="58"/>
    </row>
    <row r="269" spans="1:7" s="47" customFormat="1" ht="30" customHeight="1" thickBot="1" x14ac:dyDescent="0.3">
      <c r="A269" s="81" t="s">
        <v>11</v>
      </c>
      <c r="B269" s="163">
        <v>1</v>
      </c>
      <c r="C269" s="163"/>
      <c r="D269" s="82" t="s">
        <v>14</v>
      </c>
      <c r="E269" s="94">
        <v>45054</v>
      </c>
      <c r="F269" s="126" t="s">
        <v>69</v>
      </c>
      <c r="G269" s="46"/>
    </row>
    <row r="270" spans="1:7" s="47" customFormat="1" ht="30" customHeight="1" thickBot="1" x14ac:dyDescent="0.3">
      <c r="A270" s="80" t="s">
        <v>5</v>
      </c>
      <c r="B270" s="150" t="s">
        <v>37</v>
      </c>
      <c r="C270" s="151"/>
      <c r="D270" s="80" t="s">
        <v>12</v>
      </c>
      <c r="E270" s="267" t="s">
        <v>13</v>
      </c>
      <c r="F270" s="268"/>
      <c r="G270" s="46"/>
    </row>
    <row r="271" spans="1:7" s="52" customFormat="1" ht="27" x14ac:dyDescent="0.3">
      <c r="A271" s="48" t="s">
        <v>41</v>
      </c>
      <c r="B271" s="49">
        <v>17</v>
      </c>
      <c r="C271" s="152" t="str">
        <f xml:space="preserve"> IF(B271="","",setValueToTime(B271))</f>
        <v>1h25min</v>
      </c>
      <c r="D271" s="50" t="s">
        <v>114</v>
      </c>
      <c r="E271" s="269"/>
      <c r="F271" s="270"/>
      <c r="G271" s="51"/>
    </row>
    <row r="272" spans="1:7" s="52" customFormat="1" ht="27.75" thickBot="1" x14ac:dyDescent="0.35">
      <c r="A272" s="53" t="s">
        <v>43</v>
      </c>
      <c r="B272" s="54">
        <v>21</v>
      </c>
      <c r="C272" s="153" t="str">
        <f t="shared" ref="C272" si="30" xml:space="preserve"> IF(B272="","",setValueToTime(B272))</f>
        <v>1h45min</v>
      </c>
      <c r="D272" s="55" t="s">
        <v>70</v>
      </c>
      <c r="E272" s="271"/>
      <c r="F272" s="272"/>
      <c r="G272" s="51"/>
    </row>
    <row r="273" spans="1:7" s="52" customFormat="1" ht="15" thickBot="1" x14ac:dyDescent="0.35">
      <c r="A273" s="111" t="s">
        <v>26</v>
      </c>
      <c r="B273" s="84">
        <f>SUM(B271:B272)</f>
        <v>38</v>
      </c>
      <c r="C273" s="111" t="str">
        <f xml:space="preserve"> setValueToTime(B273)</f>
        <v>3h10min</v>
      </c>
      <c r="D273" s="120"/>
      <c r="E273" s="265"/>
      <c r="F273" s="266"/>
      <c r="G273" s="51"/>
    </row>
    <row r="274" spans="1:7" s="59" customFormat="1" x14ac:dyDescent="0.3">
      <c r="A274" s="79"/>
      <c r="B274" s="79"/>
      <c r="C274" s="79"/>
      <c r="D274" s="79"/>
      <c r="E274" s="79"/>
      <c r="F274" s="79"/>
      <c r="G274" s="58"/>
    </row>
  </sheetData>
  <sheetProtection formatRows="0" insertRows="0" insertHyperlinks="0" deleteRows="0" selectLockedCells="1"/>
  <mergeCells count="163">
    <mergeCell ref="E15:F15"/>
    <mergeCell ref="E16:F16"/>
    <mergeCell ref="E17:F17"/>
    <mergeCell ref="E8:F8"/>
    <mergeCell ref="E9:F9"/>
    <mergeCell ref="E10:F10"/>
    <mergeCell ref="E11:F11"/>
    <mergeCell ref="E12:F12"/>
    <mergeCell ref="E3:F3"/>
    <mergeCell ref="E4:F4"/>
    <mergeCell ref="E5:F5"/>
    <mergeCell ref="E6:F6"/>
    <mergeCell ref="E7:F7"/>
    <mergeCell ref="E30:F30"/>
    <mergeCell ref="E27:F27"/>
    <mergeCell ref="E28:F28"/>
    <mergeCell ref="E29:F29"/>
    <mergeCell ref="E24:F24"/>
    <mergeCell ref="E21:F21"/>
    <mergeCell ref="E22:F22"/>
    <mergeCell ref="E23:F23"/>
    <mergeCell ref="E18:F18"/>
    <mergeCell ref="E43:F43"/>
    <mergeCell ref="E39:F39"/>
    <mergeCell ref="E40:F40"/>
    <mergeCell ref="E41:F41"/>
    <mergeCell ref="E42:F42"/>
    <mergeCell ref="E36:F36"/>
    <mergeCell ref="E33:F33"/>
    <mergeCell ref="E34:F34"/>
    <mergeCell ref="E35:F35"/>
    <mergeCell ref="E51:F51"/>
    <mergeCell ref="E52:F52"/>
    <mergeCell ref="E57:F57"/>
    <mergeCell ref="E58:F58"/>
    <mergeCell ref="E59:F59"/>
    <mergeCell ref="E46:F46"/>
    <mergeCell ref="E47:F47"/>
    <mergeCell ref="E48:F48"/>
    <mergeCell ref="E49:F49"/>
    <mergeCell ref="E50:F50"/>
    <mergeCell ref="E73:F73"/>
    <mergeCell ref="E74:F74"/>
    <mergeCell ref="E75:F75"/>
    <mergeCell ref="E77:F77"/>
    <mergeCell ref="E78:F78"/>
    <mergeCell ref="E68:F68"/>
    <mergeCell ref="E69:F69"/>
    <mergeCell ref="E70:F70"/>
    <mergeCell ref="E62:F62"/>
    <mergeCell ref="E63:F63"/>
    <mergeCell ref="E64:F64"/>
    <mergeCell ref="E66:F66"/>
    <mergeCell ref="E67:F67"/>
    <mergeCell ref="E86:F86"/>
    <mergeCell ref="E87:F87"/>
    <mergeCell ref="E88:F88"/>
    <mergeCell ref="E89:F89"/>
    <mergeCell ref="E90:F90"/>
    <mergeCell ref="E79:F79"/>
    <mergeCell ref="E80:F80"/>
    <mergeCell ref="E81:F81"/>
    <mergeCell ref="E82:F82"/>
    <mergeCell ref="E83:F83"/>
    <mergeCell ref="E107:F107"/>
    <mergeCell ref="E108:F108"/>
    <mergeCell ref="E109:F109"/>
    <mergeCell ref="E101:F101"/>
    <mergeCell ref="E102:F102"/>
    <mergeCell ref="E103:F103"/>
    <mergeCell ref="E105:F105"/>
    <mergeCell ref="E106:F106"/>
    <mergeCell ref="E91:F91"/>
    <mergeCell ref="E92:F92"/>
    <mergeCell ref="E98:F98"/>
    <mergeCell ref="E119:F119"/>
    <mergeCell ref="E112:F112"/>
    <mergeCell ref="E113:F113"/>
    <mergeCell ref="E117:F117"/>
    <mergeCell ref="E118:F118"/>
    <mergeCell ref="E130:F130"/>
    <mergeCell ref="E134:F134"/>
    <mergeCell ref="E135:F135"/>
    <mergeCell ref="E122:F122"/>
    <mergeCell ref="E123:F123"/>
    <mergeCell ref="E124:F124"/>
    <mergeCell ref="E125:F125"/>
    <mergeCell ref="E126:F126"/>
    <mergeCell ref="E145:F145"/>
    <mergeCell ref="E146:F146"/>
    <mergeCell ref="E147:F147"/>
    <mergeCell ref="E148:F148"/>
    <mergeCell ref="E149:F149"/>
    <mergeCell ref="E142:F142"/>
    <mergeCell ref="E138:F138"/>
    <mergeCell ref="E139:F139"/>
    <mergeCell ref="E141:F141"/>
    <mergeCell ref="E158:F158"/>
    <mergeCell ref="E159:F159"/>
    <mergeCell ref="E160:F160"/>
    <mergeCell ref="E162:F162"/>
    <mergeCell ref="E151:F151"/>
    <mergeCell ref="E152:F152"/>
    <mergeCell ref="E153:F153"/>
    <mergeCell ref="E154:F154"/>
    <mergeCell ref="E155:F155"/>
    <mergeCell ref="E163:F163"/>
    <mergeCell ref="E164:F164"/>
    <mergeCell ref="E190:F190"/>
    <mergeCell ref="E180:F180"/>
    <mergeCell ref="E181:F181"/>
    <mergeCell ref="E187:F187"/>
    <mergeCell ref="E189:F189"/>
    <mergeCell ref="E176:F176"/>
    <mergeCell ref="E177:F177"/>
    <mergeCell ref="E196:F196"/>
    <mergeCell ref="E193:F193"/>
    <mergeCell ref="E194:F194"/>
    <mergeCell ref="E195:F195"/>
    <mergeCell ref="E167:F167"/>
    <mergeCell ref="E168:F168"/>
    <mergeCell ref="E173:F173"/>
    <mergeCell ref="E174:F174"/>
    <mergeCell ref="E175:F175"/>
    <mergeCell ref="E210:F210"/>
    <mergeCell ref="E211:F211"/>
    <mergeCell ref="E199:F199"/>
    <mergeCell ref="E200:F200"/>
    <mergeCell ref="E207:F207"/>
    <mergeCell ref="E208:F208"/>
    <mergeCell ref="E209:F209"/>
    <mergeCell ref="E220:F220"/>
    <mergeCell ref="E221:F221"/>
    <mergeCell ref="E222:F222"/>
    <mergeCell ref="E228:F228"/>
    <mergeCell ref="E214:F214"/>
    <mergeCell ref="E215:F215"/>
    <mergeCell ref="E216:F216"/>
    <mergeCell ref="E218:F218"/>
    <mergeCell ref="E219:F219"/>
    <mergeCell ref="E241:F241"/>
    <mergeCell ref="E242:F242"/>
    <mergeCell ref="E257:F257"/>
    <mergeCell ref="E258:F258"/>
    <mergeCell ref="E259:F259"/>
    <mergeCell ref="E243:F243"/>
    <mergeCell ref="E231:F231"/>
    <mergeCell ref="E232:F232"/>
    <mergeCell ref="E233:F233"/>
    <mergeCell ref="E239:F239"/>
    <mergeCell ref="E240:F240"/>
    <mergeCell ref="E254:F254"/>
    <mergeCell ref="E246:F246"/>
    <mergeCell ref="E247:F247"/>
    <mergeCell ref="E273:F273"/>
    <mergeCell ref="E270:F270"/>
    <mergeCell ref="E271:F271"/>
    <mergeCell ref="E272:F272"/>
    <mergeCell ref="E267:F267"/>
    <mergeCell ref="E264:F264"/>
    <mergeCell ref="E265:F265"/>
    <mergeCell ref="E266:F266"/>
    <mergeCell ref="E261:F261"/>
  </mergeCells>
  <phoneticPr fontId="0" type="noConversion"/>
  <conditionalFormatting sqref="B273">
    <cfRule type="cellIs" dxfId="49" priority="26" operator="greaterThan">
      <formula>60</formula>
    </cfRule>
  </conditionalFormatting>
  <conditionalFormatting sqref="B267">
    <cfRule type="cellIs" dxfId="48" priority="25" operator="greaterThan">
      <formula>60</formula>
    </cfRule>
  </conditionalFormatting>
  <conditionalFormatting sqref="B261">
    <cfRule type="cellIs" dxfId="47" priority="24" operator="greaterThan">
      <formula>60</formula>
    </cfRule>
  </conditionalFormatting>
  <conditionalFormatting sqref="B254">
    <cfRule type="cellIs" dxfId="46" priority="23" operator="greaterThan">
      <formula>60</formula>
    </cfRule>
  </conditionalFormatting>
  <conditionalFormatting sqref="B243">
    <cfRule type="cellIs" dxfId="45" priority="22" operator="greaterThan">
      <formula>60</formula>
    </cfRule>
  </conditionalFormatting>
  <conditionalFormatting sqref="B228">
    <cfRule type="cellIs" dxfId="44" priority="21" operator="greaterThan">
      <formula>60</formula>
    </cfRule>
  </conditionalFormatting>
  <conditionalFormatting sqref="B211">
    <cfRule type="cellIs" dxfId="43" priority="20" operator="greaterThan">
      <formula>60</formula>
    </cfRule>
  </conditionalFormatting>
  <conditionalFormatting sqref="B196">
    <cfRule type="cellIs" dxfId="42" priority="19" operator="greaterThan">
      <formula>60</formula>
    </cfRule>
  </conditionalFormatting>
  <conditionalFormatting sqref="B190">
    <cfRule type="cellIs" dxfId="41" priority="18" operator="greaterThan">
      <formula>60</formula>
    </cfRule>
  </conditionalFormatting>
  <conditionalFormatting sqref="B177">
    <cfRule type="cellIs" dxfId="40" priority="17" operator="greaterThan">
      <formula>60</formula>
    </cfRule>
  </conditionalFormatting>
  <conditionalFormatting sqref="B164">
    <cfRule type="cellIs" dxfId="39" priority="16" operator="greaterThan">
      <formula>60</formula>
    </cfRule>
  </conditionalFormatting>
  <conditionalFormatting sqref="B155">
    <cfRule type="cellIs" dxfId="38" priority="15" operator="greaterThan">
      <formula>60</formula>
    </cfRule>
  </conditionalFormatting>
  <conditionalFormatting sqref="B142">
    <cfRule type="cellIs" dxfId="37" priority="14" operator="greaterThan">
      <formula>60</formula>
    </cfRule>
  </conditionalFormatting>
  <conditionalFormatting sqref="B135">
    <cfRule type="cellIs" dxfId="36" priority="13" operator="greaterThan">
      <formula>60</formula>
    </cfRule>
  </conditionalFormatting>
  <conditionalFormatting sqref="B119">
    <cfRule type="cellIs" dxfId="35" priority="12" operator="greaterThan">
      <formula>60</formula>
    </cfRule>
  </conditionalFormatting>
  <conditionalFormatting sqref="B109">
    <cfRule type="cellIs" dxfId="34" priority="11" operator="greaterThan">
      <formula>60</formula>
    </cfRule>
  </conditionalFormatting>
  <conditionalFormatting sqref="B98">
    <cfRule type="cellIs" dxfId="33" priority="10" operator="greaterThan">
      <formula>60</formula>
    </cfRule>
  </conditionalFormatting>
  <conditionalFormatting sqref="B83">
    <cfRule type="cellIs" dxfId="32" priority="9" operator="greaterThan">
      <formula>60</formula>
    </cfRule>
  </conditionalFormatting>
  <conditionalFormatting sqref="B70">
    <cfRule type="cellIs" dxfId="31" priority="8" operator="greaterThan">
      <formula>60</formula>
    </cfRule>
  </conditionalFormatting>
  <conditionalFormatting sqref="B59">
    <cfRule type="cellIs" dxfId="30" priority="7" operator="greaterThan">
      <formula>60</formula>
    </cfRule>
  </conditionalFormatting>
  <conditionalFormatting sqref="B43">
    <cfRule type="cellIs" dxfId="29" priority="6" operator="greaterThan">
      <formula>60</formula>
    </cfRule>
  </conditionalFormatting>
  <conditionalFormatting sqref="B36">
    <cfRule type="cellIs" dxfId="28" priority="5" operator="greaterThan">
      <formula>60</formula>
    </cfRule>
  </conditionalFormatting>
  <conditionalFormatting sqref="B30">
    <cfRule type="cellIs" dxfId="27" priority="4" operator="greaterThan">
      <formula>60</formula>
    </cfRule>
  </conditionalFormatting>
  <conditionalFormatting sqref="B24">
    <cfRule type="cellIs" dxfId="26" priority="3" operator="greaterThan">
      <formula>60</formula>
    </cfRule>
  </conditionalFormatting>
  <conditionalFormatting sqref="B18">
    <cfRule type="cellIs" dxfId="25" priority="2" operator="greaterThan">
      <formula>60</formula>
    </cfRule>
  </conditionalFormatting>
  <conditionalFormatting sqref="B12">
    <cfRule type="cellIs" dxfId="24"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3 B267 B261 B254 B243 B228 B211 B196 B190 B177 B164 B155 B142 B135 B119 B109 B98 B83 B70 B59 B43 B36 B30 B24 B18 B12" xr:uid="{18A30291-9BDC-4CA2-B853-9266EBEC1889}">
      <formula1>0</formula1>
      <formula2>60</formula2>
    </dataValidation>
    <dataValidation type="whole" operator="greaterThan" allowBlank="1" showInputMessage="1" showErrorMessage="1" errorTitle="Durée par tranche de 10min" error="Le nombre doit être de type entier" sqref="B271:B272 B265:B266 B16:B17 B4:B11 B232:B242 B194:B195 B181:B189 B200:B210 B146:B154 B159:B163 B87:B97 B258:B260 B113:B118 B102:B108 B74:B82 B63:B69 B47:B58 B40:B42 B34:B35 B139:B141 B22:B23 B247:B253 B215:B227 B168:B176 B123:B134 B28:B29" xr:uid="{D2D2A3CF-5C40-4473-A34D-82A72B8CEB00}">
      <formula1>0</formula1>
    </dataValidation>
    <dataValidation type="list" allowBlank="1" showInputMessage="1" showErrorMessage="1" sqref="A271:A272 A265:A266 A16:A17 A4:A11 A247:A253 A232:A242 A194:A195 A181:A189 A200:A210 A159:A163 A146:A154 A47:A58 A258:A260 A113:A118 A102:A108 A87:A97 A74:A82 A63:A69 A40:A42 A34:A35 A139:A141 A22:A23 A215:A227 A168:A176 A123:A134 A28:A29" xr:uid="{7D55554D-348B-4B97-AA65-220BC1C2BD6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55"/>
  <sheetViews>
    <sheetView showGridLines="0" tabSelected="1" view="pageBreakPreview" topLeftCell="A7" zoomScale="85" zoomScaleNormal="100" zoomScaleSheetLayoutView="85" workbookViewId="0">
      <selection activeCell="D17" sqref="D1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22</v>
      </c>
      <c r="C2" s="164"/>
      <c r="D2" s="157" t="s">
        <v>14</v>
      </c>
      <c r="E2" s="158" t="s">
        <v>105</v>
      </c>
      <c r="F2" s="159" t="s">
        <v>71</v>
      </c>
      <c r="G2" s="46"/>
    </row>
    <row r="3" spans="1:7" s="47" customFormat="1" ht="30" customHeight="1" thickBot="1" x14ac:dyDescent="0.3">
      <c r="A3" s="78" t="s">
        <v>5</v>
      </c>
      <c r="B3" s="161" t="s">
        <v>37</v>
      </c>
      <c r="C3" s="160"/>
      <c r="D3" s="78" t="s">
        <v>12</v>
      </c>
      <c r="E3" s="277" t="s">
        <v>13</v>
      </c>
      <c r="F3" s="278"/>
      <c r="G3" s="46"/>
    </row>
    <row r="4" spans="1:7" s="52" customFormat="1" ht="27" x14ac:dyDescent="0.3">
      <c r="A4" s="48" t="s">
        <v>44</v>
      </c>
      <c r="B4" s="49">
        <v>1</v>
      </c>
      <c r="C4" s="152" t="str">
        <f xml:space="preserve"> IF(B4="","",setValueToTime(B4))</f>
        <v>0h5min</v>
      </c>
      <c r="D4" s="50"/>
      <c r="E4" s="269"/>
      <c r="F4" s="270"/>
      <c r="G4" s="51"/>
    </row>
    <row r="5" spans="1:7" s="52" customFormat="1" ht="27.75" thickBot="1" x14ac:dyDescent="0.35">
      <c r="A5" s="53" t="s">
        <v>45</v>
      </c>
      <c r="B5" s="54">
        <v>37</v>
      </c>
      <c r="C5" s="153" t="str">
        <f t="shared" ref="C5" si="0" xml:space="preserve"> IF(B5="","",setValueToTime(B5))</f>
        <v>3h5min</v>
      </c>
      <c r="D5" s="55" t="s">
        <v>214</v>
      </c>
      <c r="E5" s="279" t="s">
        <v>187</v>
      </c>
      <c r="F5" s="280"/>
      <c r="G5" s="51"/>
    </row>
    <row r="6" spans="1:7" s="52" customFormat="1" ht="15" thickBot="1" x14ac:dyDescent="0.35">
      <c r="A6" s="162" t="s">
        <v>26</v>
      </c>
      <c r="B6" s="83">
        <f>SUM(B4:B5)</f>
        <v>38</v>
      </c>
      <c r="C6" s="162" t="str">
        <f xml:space="preserve"> setValueToTime(B6)</f>
        <v>3h10min</v>
      </c>
      <c r="D6" s="121"/>
      <c r="E6" s="275"/>
      <c r="F6" s="276"/>
      <c r="G6" s="51"/>
    </row>
    <row r="7" spans="1:7" s="59" customFormat="1" ht="15" thickBot="1" x14ac:dyDescent="0.35">
      <c r="A7" s="77"/>
      <c r="B7" s="77"/>
      <c r="C7" s="77"/>
      <c r="D7" s="77"/>
      <c r="E7" s="77"/>
      <c r="F7" s="77"/>
      <c r="G7" s="58"/>
    </row>
    <row r="8" spans="1:7" s="47" customFormat="1" ht="30" customHeight="1" thickBot="1" x14ac:dyDescent="0.3">
      <c r="A8" s="156" t="s">
        <v>11</v>
      </c>
      <c r="B8" s="164">
        <v>21</v>
      </c>
      <c r="C8" s="164"/>
      <c r="D8" s="157" t="s">
        <v>14</v>
      </c>
      <c r="E8" s="158" t="s">
        <v>105</v>
      </c>
      <c r="F8" s="159" t="s">
        <v>72</v>
      </c>
      <c r="G8" s="46"/>
    </row>
    <row r="9" spans="1:7" s="47" customFormat="1" ht="30" customHeight="1" thickBot="1" x14ac:dyDescent="0.3">
      <c r="A9" s="78" t="s">
        <v>5</v>
      </c>
      <c r="B9" s="161" t="s">
        <v>37</v>
      </c>
      <c r="C9" s="160"/>
      <c r="D9" s="78" t="s">
        <v>12</v>
      </c>
      <c r="E9" s="277" t="s">
        <v>13</v>
      </c>
      <c r="F9" s="278"/>
      <c r="G9" s="46"/>
    </row>
    <row r="10" spans="1:7" s="52" customFormat="1" ht="27" x14ac:dyDescent="0.3">
      <c r="A10" s="48" t="s">
        <v>44</v>
      </c>
      <c r="B10" s="49">
        <v>1</v>
      </c>
      <c r="C10" s="152" t="str">
        <f xml:space="preserve"> IF(B10="","",setValueToTime(B10))</f>
        <v>0h5min</v>
      </c>
      <c r="D10" s="50"/>
      <c r="E10" s="269"/>
      <c r="F10" s="270"/>
      <c r="G10" s="51"/>
    </row>
    <row r="11" spans="1:7" s="52" customFormat="1" ht="27.75" thickBot="1" x14ac:dyDescent="0.35">
      <c r="A11" s="53" t="s">
        <v>45</v>
      </c>
      <c r="B11" s="54">
        <v>47</v>
      </c>
      <c r="C11" s="153" t="str">
        <f t="shared" ref="C11" si="1" xml:space="preserve"> IF(B11="","",setValueToTime(B11))</f>
        <v>3h55min</v>
      </c>
      <c r="D11" s="55" t="s">
        <v>200</v>
      </c>
      <c r="E11" s="271"/>
      <c r="F11" s="272"/>
      <c r="G11" s="51"/>
    </row>
    <row r="12" spans="1:7" s="52" customFormat="1" ht="15" thickBot="1" x14ac:dyDescent="0.35">
      <c r="A12" s="162" t="s">
        <v>26</v>
      </c>
      <c r="B12" s="83">
        <f>SUM(B10:B11)</f>
        <v>48</v>
      </c>
      <c r="C12" s="162" t="str">
        <f xml:space="preserve"> setValueToTime(B12)</f>
        <v>4h</v>
      </c>
      <c r="D12" s="121"/>
      <c r="E12" s="275"/>
      <c r="F12" s="276"/>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20</v>
      </c>
      <c r="C14" s="164"/>
      <c r="D14" s="157" t="s">
        <v>14</v>
      </c>
      <c r="E14" s="158" t="s">
        <v>94</v>
      </c>
      <c r="F14" s="159" t="s">
        <v>71</v>
      </c>
      <c r="G14" s="46"/>
    </row>
    <row r="15" spans="1:7" s="47" customFormat="1" ht="30" customHeight="1" thickBot="1" x14ac:dyDescent="0.3">
      <c r="A15" s="78" t="s">
        <v>5</v>
      </c>
      <c r="B15" s="161" t="s">
        <v>37</v>
      </c>
      <c r="C15" s="160"/>
      <c r="D15" s="78" t="s">
        <v>12</v>
      </c>
      <c r="E15" s="277" t="s">
        <v>13</v>
      </c>
      <c r="F15" s="278"/>
      <c r="G15" s="46"/>
    </row>
    <row r="16" spans="1:7" s="52" customFormat="1" ht="27" x14ac:dyDescent="0.3">
      <c r="A16" s="48" t="s">
        <v>44</v>
      </c>
      <c r="B16" s="49">
        <v>1</v>
      </c>
      <c r="C16" s="152" t="str">
        <f xml:space="preserve"> IF(B16="","",setValueToTime(B16))</f>
        <v>0h5min</v>
      </c>
      <c r="D16" s="50"/>
      <c r="E16" s="269"/>
      <c r="F16" s="270"/>
      <c r="G16" s="51"/>
    </row>
    <row r="17" spans="1:7" s="52" customFormat="1" ht="27.75" thickBot="1" x14ac:dyDescent="0.35">
      <c r="A17" s="53" t="s">
        <v>45</v>
      </c>
      <c r="B17" s="54">
        <v>37</v>
      </c>
      <c r="C17" s="153" t="str">
        <f t="shared" ref="C17" si="2" xml:space="preserve"> IF(B17="","",setValueToTime(B17))</f>
        <v>3h5min</v>
      </c>
      <c r="D17" s="55" t="s">
        <v>200</v>
      </c>
      <c r="E17" s="271"/>
      <c r="F17" s="272"/>
      <c r="G17" s="51"/>
    </row>
    <row r="18" spans="1:7" s="52" customFormat="1" ht="15" thickBot="1" x14ac:dyDescent="0.35">
      <c r="A18" s="162" t="s">
        <v>26</v>
      </c>
      <c r="B18" s="83">
        <f>SUM(B16:B17)</f>
        <v>38</v>
      </c>
      <c r="C18" s="162" t="str">
        <f xml:space="preserve"> setValueToTime(B18)</f>
        <v>3h10min</v>
      </c>
      <c r="D18" s="121"/>
      <c r="E18" s="275"/>
      <c r="F18" s="276"/>
      <c r="G18" s="51"/>
    </row>
    <row r="19" spans="1:7" s="59" customFormat="1" ht="15" thickBot="1" x14ac:dyDescent="0.35">
      <c r="A19" s="77"/>
      <c r="B19" s="77"/>
      <c r="C19" s="77"/>
      <c r="D19" s="77"/>
      <c r="E19" s="77"/>
      <c r="F19" s="77"/>
      <c r="G19" s="58"/>
    </row>
    <row r="20" spans="1:7" s="47" customFormat="1" ht="30" customHeight="1" thickBot="1" x14ac:dyDescent="0.3">
      <c r="A20" s="156" t="s">
        <v>11</v>
      </c>
      <c r="B20" s="164">
        <v>19</v>
      </c>
      <c r="C20" s="164"/>
      <c r="D20" s="157" t="s">
        <v>14</v>
      </c>
      <c r="E20" s="158" t="s">
        <v>94</v>
      </c>
      <c r="F20" s="159" t="s">
        <v>72</v>
      </c>
      <c r="G20" s="46"/>
    </row>
    <row r="21" spans="1:7" s="47" customFormat="1" ht="30" customHeight="1" thickBot="1" x14ac:dyDescent="0.3">
      <c r="A21" s="78" t="s">
        <v>5</v>
      </c>
      <c r="B21" s="161" t="s">
        <v>37</v>
      </c>
      <c r="C21" s="160"/>
      <c r="D21" s="78" t="s">
        <v>12</v>
      </c>
      <c r="E21" s="277" t="s">
        <v>13</v>
      </c>
      <c r="F21" s="278"/>
      <c r="G21" s="46"/>
    </row>
    <row r="22" spans="1:7" s="52" customFormat="1" ht="27" x14ac:dyDescent="0.3">
      <c r="A22" s="48" t="s">
        <v>44</v>
      </c>
      <c r="B22" s="49">
        <v>3</v>
      </c>
      <c r="C22" s="152" t="str">
        <f xml:space="preserve"> IF(B22="","",setValueToTime(B22))</f>
        <v>0h15min</v>
      </c>
      <c r="D22" s="50"/>
      <c r="E22" s="269"/>
      <c r="F22" s="270"/>
      <c r="G22" s="51"/>
    </row>
    <row r="23" spans="1:7" s="52" customFormat="1" x14ac:dyDescent="0.3">
      <c r="A23" s="53"/>
      <c r="B23" s="54"/>
      <c r="C23" s="153" t="str">
        <f t="shared" ref="C23:C41" si="3" xml:space="preserve"> IF(B23="","",setValueToTime(B23))</f>
        <v/>
      </c>
      <c r="D23" s="55"/>
      <c r="E23" s="271"/>
      <c r="F23" s="272"/>
      <c r="G23" s="51"/>
    </row>
    <row r="24" spans="1:7" s="52" customFormat="1" ht="27" x14ac:dyDescent="0.3">
      <c r="A24" s="53" t="s">
        <v>47</v>
      </c>
      <c r="B24" s="54">
        <v>7</v>
      </c>
      <c r="C24" s="153" t="str">
        <f t="shared" si="3"/>
        <v>0h35min</v>
      </c>
      <c r="D24" s="206" t="s">
        <v>211</v>
      </c>
      <c r="E24" s="271"/>
      <c r="F24" s="272"/>
      <c r="G24" s="51"/>
    </row>
    <row r="25" spans="1:7" s="52" customFormat="1" ht="27" x14ac:dyDescent="0.3">
      <c r="A25" s="53" t="s">
        <v>42</v>
      </c>
      <c r="B25" s="54">
        <v>2</v>
      </c>
      <c r="C25" s="153" t="str">
        <f t="shared" si="3"/>
        <v>0h10min</v>
      </c>
      <c r="D25" s="206" t="s">
        <v>204</v>
      </c>
      <c r="E25" s="271"/>
      <c r="F25" s="272"/>
      <c r="G25" s="51"/>
    </row>
    <row r="26" spans="1:7" s="52" customFormat="1" ht="40.5" x14ac:dyDescent="0.3">
      <c r="A26" s="54" t="s">
        <v>68</v>
      </c>
      <c r="B26" s="54">
        <v>1</v>
      </c>
      <c r="C26" s="154" t="str">
        <f t="shared" si="3"/>
        <v>0h5min</v>
      </c>
      <c r="D26" s="206" t="s">
        <v>141</v>
      </c>
      <c r="E26" s="271"/>
      <c r="F26" s="272"/>
      <c r="G26" s="51"/>
    </row>
    <row r="27" spans="1:7" s="52" customFormat="1" x14ac:dyDescent="0.3">
      <c r="A27" s="54"/>
      <c r="B27" s="54"/>
      <c r="C27" s="154" t="str">
        <f t="shared" si="3"/>
        <v/>
      </c>
      <c r="D27" s="206"/>
      <c r="E27" s="224"/>
      <c r="F27" s="225"/>
      <c r="G27" s="51"/>
    </row>
    <row r="28" spans="1:7" s="52" customFormat="1" ht="27" x14ac:dyDescent="0.3">
      <c r="A28" s="54" t="s">
        <v>67</v>
      </c>
      <c r="B28" s="54">
        <v>1</v>
      </c>
      <c r="C28" s="154" t="str">
        <f t="shared" si="3"/>
        <v>0h5min</v>
      </c>
      <c r="D28" s="206" t="s">
        <v>210</v>
      </c>
      <c r="E28" s="226"/>
      <c r="F28" s="227"/>
      <c r="G28" s="51"/>
    </row>
    <row r="29" spans="1:7" s="52" customFormat="1" ht="54" x14ac:dyDescent="0.3">
      <c r="A29" s="54" t="s">
        <v>59</v>
      </c>
      <c r="B29" s="54">
        <v>3</v>
      </c>
      <c r="C29" s="154" t="str">
        <f t="shared" si="3"/>
        <v>0h15min</v>
      </c>
      <c r="D29" s="206" t="s">
        <v>208</v>
      </c>
      <c r="E29" s="279" t="s">
        <v>205</v>
      </c>
      <c r="F29" s="280"/>
      <c r="G29" s="51"/>
    </row>
    <row r="30" spans="1:7" s="52" customFormat="1" ht="27" x14ac:dyDescent="0.3">
      <c r="A30" s="54" t="s">
        <v>42</v>
      </c>
      <c r="B30" s="54">
        <v>4</v>
      </c>
      <c r="C30" s="154" t="str">
        <f t="shared" si="3"/>
        <v>0h20min</v>
      </c>
      <c r="D30" s="206" t="s">
        <v>204</v>
      </c>
      <c r="E30" s="224"/>
      <c r="F30" s="225"/>
      <c r="G30" s="51"/>
    </row>
    <row r="31" spans="1:7" s="52" customFormat="1" ht="40.5" x14ac:dyDescent="0.3">
      <c r="A31" s="54" t="s">
        <v>68</v>
      </c>
      <c r="B31" s="54">
        <v>1</v>
      </c>
      <c r="C31" s="154" t="str">
        <f t="shared" si="3"/>
        <v>0h5min</v>
      </c>
      <c r="D31" s="206" t="s">
        <v>141</v>
      </c>
      <c r="E31" s="224"/>
      <c r="F31" s="225"/>
      <c r="G31" s="51"/>
    </row>
    <row r="32" spans="1:7" s="52" customFormat="1" x14ac:dyDescent="0.3">
      <c r="A32" s="54"/>
      <c r="B32" s="54"/>
      <c r="C32" s="154" t="str">
        <f t="shared" si="3"/>
        <v/>
      </c>
      <c r="D32" s="206"/>
      <c r="E32" s="224"/>
      <c r="F32" s="225"/>
      <c r="G32" s="51"/>
    </row>
    <row r="33" spans="1:7" s="52" customFormat="1" ht="27" x14ac:dyDescent="0.3">
      <c r="A33" s="54" t="s">
        <v>67</v>
      </c>
      <c r="B33" s="54">
        <v>1</v>
      </c>
      <c r="C33" s="154" t="str">
        <f t="shared" si="3"/>
        <v>0h5min</v>
      </c>
      <c r="D33" s="206" t="s">
        <v>206</v>
      </c>
      <c r="E33" s="224"/>
      <c r="F33" s="225"/>
      <c r="G33" s="51"/>
    </row>
    <row r="34" spans="1:7" s="52" customFormat="1" ht="40.5" x14ac:dyDescent="0.3">
      <c r="A34" s="54" t="s">
        <v>57</v>
      </c>
      <c r="B34" s="54">
        <v>4</v>
      </c>
      <c r="C34" s="154" t="str">
        <f t="shared" si="3"/>
        <v>0h20min</v>
      </c>
      <c r="D34" s="206" t="s">
        <v>209</v>
      </c>
      <c r="E34" s="224"/>
      <c r="F34" s="225"/>
      <c r="G34" s="51"/>
    </row>
    <row r="35" spans="1:7" s="52" customFormat="1" ht="27" x14ac:dyDescent="0.3">
      <c r="A35" s="54" t="s">
        <v>42</v>
      </c>
      <c r="B35" s="54">
        <v>6</v>
      </c>
      <c r="C35" s="154" t="str">
        <f t="shared" si="3"/>
        <v>0h30min</v>
      </c>
      <c r="D35" s="206" t="s">
        <v>204</v>
      </c>
      <c r="E35" s="224"/>
      <c r="F35" s="225"/>
      <c r="G35" s="51"/>
    </row>
    <row r="36" spans="1:7" s="52" customFormat="1" ht="40.5" x14ac:dyDescent="0.3">
      <c r="A36" s="54" t="s">
        <v>68</v>
      </c>
      <c r="B36" s="54">
        <v>2</v>
      </c>
      <c r="C36" s="154" t="str">
        <f t="shared" si="3"/>
        <v>0h10min</v>
      </c>
      <c r="D36" s="206" t="s">
        <v>141</v>
      </c>
      <c r="E36" s="224"/>
      <c r="F36" s="225"/>
      <c r="G36" s="51"/>
    </row>
    <row r="37" spans="1:7" s="52" customFormat="1" x14ac:dyDescent="0.3">
      <c r="A37" s="54"/>
      <c r="B37" s="54"/>
      <c r="C37" s="154" t="str">
        <f t="shared" si="3"/>
        <v/>
      </c>
      <c r="D37" s="206"/>
      <c r="E37" s="226"/>
      <c r="F37" s="227"/>
      <c r="G37" s="51"/>
    </row>
    <row r="38" spans="1:7" s="52" customFormat="1" ht="67.5" x14ac:dyDescent="0.3">
      <c r="A38" s="54" t="s">
        <v>67</v>
      </c>
      <c r="B38" s="54">
        <v>1</v>
      </c>
      <c r="C38" s="154" t="str">
        <f t="shared" si="3"/>
        <v>0h5min</v>
      </c>
      <c r="D38" s="206" t="s">
        <v>207</v>
      </c>
      <c r="E38" s="226"/>
      <c r="F38" s="227"/>
      <c r="G38" s="51"/>
    </row>
    <row r="39" spans="1:7" s="52" customFormat="1" ht="67.5" x14ac:dyDescent="0.3">
      <c r="A39" s="54" t="s">
        <v>60</v>
      </c>
      <c r="B39" s="54">
        <v>4</v>
      </c>
      <c r="C39" s="154" t="str">
        <f t="shared" si="3"/>
        <v>0h20min</v>
      </c>
      <c r="D39" s="206" t="s">
        <v>207</v>
      </c>
      <c r="E39" s="226"/>
      <c r="F39" s="227"/>
      <c r="G39" s="51"/>
    </row>
    <row r="40" spans="1:7" s="52" customFormat="1" ht="27" x14ac:dyDescent="0.3">
      <c r="A40" s="54" t="s">
        <v>42</v>
      </c>
      <c r="B40" s="54">
        <v>7</v>
      </c>
      <c r="C40" s="154" t="str">
        <f t="shared" si="3"/>
        <v>0h35min</v>
      </c>
      <c r="D40" s="206" t="s">
        <v>204</v>
      </c>
      <c r="E40" s="226"/>
      <c r="F40" s="227"/>
      <c r="G40" s="51"/>
    </row>
    <row r="41" spans="1:7" s="52" customFormat="1" ht="41.25" thickBot="1" x14ac:dyDescent="0.35">
      <c r="A41" s="54" t="s">
        <v>68</v>
      </c>
      <c r="B41" s="54">
        <v>1</v>
      </c>
      <c r="C41" s="154" t="str">
        <f t="shared" si="3"/>
        <v>0h5min</v>
      </c>
      <c r="D41" s="206" t="s">
        <v>141</v>
      </c>
      <c r="E41" s="226"/>
      <c r="F41" s="227"/>
      <c r="G41" s="51"/>
    </row>
    <row r="42" spans="1:7" s="52" customFormat="1" ht="15" thickBot="1" x14ac:dyDescent="0.35">
      <c r="A42" s="162" t="s">
        <v>26</v>
      </c>
      <c r="B42" s="83">
        <f>SUM(B22:B41)</f>
        <v>48</v>
      </c>
      <c r="C42" s="162" t="str">
        <f xml:space="preserve"> setValueToTime(B42)</f>
        <v>4h</v>
      </c>
      <c r="D42" s="121"/>
      <c r="E42" s="275"/>
      <c r="F42" s="276"/>
      <c r="G42" s="51"/>
    </row>
    <row r="43" spans="1:7" s="59" customFormat="1" ht="15" thickBot="1" x14ac:dyDescent="0.35">
      <c r="A43" s="77"/>
      <c r="B43" s="77"/>
      <c r="C43" s="77"/>
      <c r="D43" s="77"/>
      <c r="E43" s="77"/>
      <c r="F43" s="77"/>
      <c r="G43" s="58"/>
    </row>
    <row r="44" spans="1:7" s="47" customFormat="1" ht="30" customHeight="1" thickBot="1" x14ac:dyDescent="0.3">
      <c r="A44" s="156" t="s">
        <v>11</v>
      </c>
      <c r="B44" s="164">
        <v>18</v>
      </c>
      <c r="C44" s="164"/>
      <c r="D44" s="157" t="s">
        <v>14</v>
      </c>
      <c r="E44" s="158" t="s">
        <v>97</v>
      </c>
      <c r="F44" s="159" t="s">
        <v>71</v>
      </c>
      <c r="G44" s="46"/>
    </row>
    <row r="45" spans="1:7" s="47" customFormat="1" ht="30" customHeight="1" thickBot="1" x14ac:dyDescent="0.3">
      <c r="A45" s="78" t="s">
        <v>5</v>
      </c>
      <c r="B45" s="161" t="s">
        <v>37</v>
      </c>
      <c r="C45" s="160"/>
      <c r="D45" s="78" t="s">
        <v>12</v>
      </c>
      <c r="E45" s="277" t="s">
        <v>13</v>
      </c>
      <c r="F45" s="278"/>
      <c r="G45" s="46"/>
    </row>
    <row r="46" spans="1:7" s="52" customFormat="1" ht="27" x14ac:dyDescent="0.3">
      <c r="A46" s="48" t="s">
        <v>44</v>
      </c>
      <c r="B46" s="49">
        <v>2</v>
      </c>
      <c r="C46" s="152" t="str">
        <f xml:space="preserve"> IF(B46="","",setValueToTime(B46))</f>
        <v>0h10min</v>
      </c>
      <c r="D46" s="50"/>
      <c r="E46" s="269"/>
      <c r="F46" s="270"/>
      <c r="G46" s="51"/>
    </row>
    <row r="47" spans="1:7" s="52" customFormat="1" ht="54" x14ac:dyDescent="0.3">
      <c r="A47" s="53" t="s">
        <v>126</v>
      </c>
      <c r="B47" s="54">
        <v>4</v>
      </c>
      <c r="C47" s="153" t="s">
        <v>198</v>
      </c>
      <c r="D47" s="55" t="s">
        <v>197</v>
      </c>
      <c r="E47" s="271"/>
      <c r="F47" s="272"/>
      <c r="G47" s="51"/>
    </row>
    <row r="48" spans="1:7" s="52" customFormat="1" x14ac:dyDescent="0.3">
      <c r="A48" s="53"/>
      <c r="B48" s="54"/>
      <c r="C48" s="153" t="str">
        <f t="shared" ref="C48:C53" si="4" xml:space="preserve"> IF(B48="","",setValueToTime(B48))</f>
        <v/>
      </c>
      <c r="D48" s="55"/>
      <c r="E48" s="271"/>
      <c r="F48" s="272"/>
      <c r="G48" s="51"/>
    </row>
    <row r="49" spans="1:7" s="52" customFormat="1" ht="27" x14ac:dyDescent="0.3">
      <c r="A49" s="53" t="s">
        <v>67</v>
      </c>
      <c r="B49" s="54">
        <v>1</v>
      </c>
      <c r="C49" s="153" t="str">
        <f t="shared" si="4"/>
        <v>0h5min</v>
      </c>
      <c r="D49" s="55" t="s">
        <v>199</v>
      </c>
      <c r="E49" s="271"/>
      <c r="F49" s="272"/>
      <c r="G49" s="51"/>
    </row>
    <row r="50" spans="1:7" s="52" customFormat="1" ht="27" x14ac:dyDescent="0.3">
      <c r="A50" s="54" t="s">
        <v>56</v>
      </c>
      <c r="B50" s="54">
        <v>18</v>
      </c>
      <c r="C50" s="154" t="str">
        <f t="shared" si="4"/>
        <v>1h30min</v>
      </c>
      <c r="D50" s="55" t="s">
        <v>196</v>
      </c>
      <c r="E50" s="271"/>
      <c r="F50" s="272"/>
      <c r="G50" s="51"/>
    </row>
    <row r="51" spans="1:7" s="52" customFormat="1" ht="27" x14ac:dyDescent="0.3">
      <c r="A51" s="54" t="s">
        <v>42</v>
      </c>
      <c r="B51" s="54">
        <v>7</v>
      </c>
      <c r="C51" s="154" t="str">
        <f t="shared" si="4"/>
        <v>0h35min</v>
      </c>
      <c r="D51" s="206" t="s">
        <v>204</v>
      </c>
      <c r="E51" s="271"/>
      <c r="F51" s="272"/>
      <c r="G51" s="51"/>
    </row>
    <row r="52" spans="1:7" s="52" customFormat="1" ht="40.5" x14ac:dyDescent="0.3">
      <c r="A52" s="54" t="s">
        <v>68</v>
      </c>
      <c r="B52" s="54">
        <v>1</v>
      </c>
      <c r="C52" s="154" t="str">
        <f t="shared" si="4"/>
        <v>0h5min</v>
      </c>
      <c r="D52" s="206" t="s">
        <v>141</v>
      </c>
      <c r="E52" s="271"/>
      <c r="F52" s="272"/>
      <c r="G52" s="51"/>
    </row>
    <row r="53" spans="1:7" s="52" customFormat="1" x14ac:dyDescent="0.3">
      <c r="A53" s="221"/>
      <c r="B53" s="221"/>
      <c r="C53" s="154" t="str">
        <f t="shared" si="4"/>
        <v/>
      </c>
      <c r="D53" s="180"/>
      <c r="E53" s="181"/>
      <c r="F53" s="182"/>
      <c r="G53" s="51"/>
    </row>
    <row r="54" spans="1:7" s="52" customFormat="1" ht="27" x14ac:dyDescent="0.3">
      <c r="A54" s="221" t="s">
        <v>67</v>
      </c>
      <c r="B54" s="221">
        <v>1</v>
      </c>
      <c r="C54" s="154" t="s">
        <v>203</v>
      </c>
      <c r="D54" s="180" t="s">
        <v>188</v>
      </c>
      <c r="E54" s="181"/>
      <c r="F54" s="182"/>
      <c r="G54" s="51"/>
    </row>
    <row r="55" spans="1:7" s="52" customFormat="1" ht="40.5" x14ac:dyDescent="0.3">
      <c r="A55" s="221" t="s">
        <v>62</v>
      </c>
      <c r="B55" s="221">
        <v>1</v>
      </c>
      <c r="C55" s="154" t="s">
        <v>203</v>
      </c>
      <c r="D55" s="180" t="s">
        <v>189</v>
      </c>
      <c r="E55" s="181"/>
      <c r="F55" s="182"/>
      <c r="G55" s="51"/>
    </row>
    <row r="56" spans="1:7" s="52" customFormat="1" ht="27" x14ac:dyDescent="0.3">
      <c r="A56" s="221" t="s">
        <v>42</v>
      </c>
      <c r="B56" s="221">
        <v>1</v>
      </c>
      <c r="C56" s="154" t="s">
        <v>203</v>
      </c>
      <c r="D56" s="180" t="s">
        <v>190</v>
      </c>
      <c r="E56" s="181"/>
      <c r="F56" s="182"/>
      <c r="G56" s="51"/>
    </row>
    <row r="57" spans="1:7" s="52" customFormat="1" ht="41.25" thickBot="1" x14ac:dyDescent="0.35">
      <c r="A57" s="221" t="s">
        <v>68</v>
      </c>
      <c r="B57" s="221">
        <v>2</v>
      </c>
      <c r="C57" s="154" t="s">
        <v>115</v>
      </c>
      <c r="D57" s="180" t="s">
        <v>141</v>
      </c>
      <c r="E57" s="181"/>
      <c r="F57" s="182"/>
      <c r="G57" s="51"/>
    </row>
    <row r="58" spans="1:7" s="52" customFormat="1" ht="15" thickBot="1" x14ac:dyDescent="0.35">
      <c r="A58" s="162" t="s">
        <v>26</v>
      </c>
      <c r="B58" s="83">
        <f>SUM(B46:B57)</f>
        <v>38</v>
      </c>
      <c r="C58" s="162" t="str">
        <f xml:space="preserve"> setValueToTime(B58)</f>
        <v>3h10min</v>
      </c>
      <c r="D58" s="121"/>
      <c r="E58" s="275"/>
      <c r="F58" s="276"/>
      <c r="G58" s="51"/>
    </row>
    <row r="59" spans="1:7" s="59" customFormat="1" ht="15" thickBot="1" x14ac:dyDescent="0.35">
      <c r="A59" s="77"/>
      <c r="B59" s="77"/>
      <c r="C59" s="77"/>
      <c r="D59" s="77"/>
      <c r="E59" s="77"/>
      <c r="F59" s="77"/>
      <c r="G59" s="58"/>
    </row>
    <row r="60" spans="1:7" s="47" customFormat="1" ht="30" customHeight="1" thickBot="1" x14ac:dyDescent="0.3">
      <c r="A60" s="156" t="s">
        <v>11</v>
      </c>
      <c r="B60" s="164">
        <v>17</v>
      </c>
      <c r="C60" s="164"/>
      <c r="D60" s="157" t="s">
        <v>14</v>
      </c>
      <c r="E60" s="158" t="s">
        <v>97</v>
      </c>
      <c r="F60" s="159" t="s">
        <v>72</v>
      </c>
      <c r="G60" s="46"/>
    </row>
    <row r="61" spans="1:7" s="47" customFormat="1" ht="30" customHeight="1" thickBot="1" x14ac:dyDescent="0.3">
      <c r="A61" s="78" t="s">
        <v>5</v>
      </c>
      <c r="B61" s="161" t="s">
        <v>37</v>
      </c>
      <c r="C61" s="160"/>
      <c r="D61" s="78" t="s">
        <v>12</v>
      </c>
      <c r="E61" s="277" t="s">
        <v>13</v>
      </c>
      <c r="F61" s="278"/>
      <c r="G61" s="46"/>
    </row>
    <row r="62" spans="1:7" s="52" customFormat="1" ht="27" x14ac:dyDescent="0.3">
      <c r="A62" s="48" t="s">
        <v>44</v>
      </c>
      <c r="B62" s="49">
        <v>2</v>
      </c>
      <c r="C62" s="152" t="str">
        <f xml:space="preserve"> IF(B62="","",setValueToTime(B62))</f>
        <v>0h10min</v>
      </c>
      <c r="D62" s="50"/>
      <c r="E62" s="269"/>
      <c r="F62" s="270"/>
      <c r="G62" s="51"/>
    </row>
    <row r="63" spans="1:7" s="52" customFormat="1" x14ac:dyDescent="0.3">
      <c r="A63" s="53"/>
      <c r="B63" s="54"/>
      <c r="C63" s="153" t="str">
        <f t="shared" ref="C63:C72" si="5" xml:space="preserve"> IF(B63="","",setValueToTime(B63))</f>
        <v/>
      </c>
      <c r="D63" s="55"/>
      <c r="E63" s="222"/>
      <c r="F63" s="223"/>
      <c r="G63" s="51"/>
    </row>
    <row r="64" spans="1:7" s="52" customFormat="1" ht="27" x14ac:dyDescent="0.3">
      <c r="A64" s="53" t="s">
        <v>67</v>
      </c>
      <c r="B64" s="54">
        <v>1</v>
      </c>
      <c r="C64" s="153" t="str">
        <f t="shared" si="5"/>
        <v>0h5min</v>
      </c>
      <c r="D64" s="55" t="s">
        <v>202</v>
      </c>
      <c r="E64" s="279"/>
      <c r="F64" s="280"/>
      <c r="G64" s="51"/>
    </row>
    <row r="65" spans="1:7" s="52" customFormat="1" ht="54" x14ac:dyDescent="0.3">
      <c r="A65" s="53" t="s">
        <v>61</v>
      </c>
      <c r="B65" s="54">
        <v>12</v>
      </c>
      <c r="C65" s="153" t="str">
        <f t="shared" si="5"/>
        <v>1h</v>
      </c>
      <c r="D65" s="55" t="s">
        <v>201</v>
      </c>
      <c r="E65" s="279" t="s">
        <v>195</v>
      </c>
      <c r="F65" s="280"/>
      <c r="G65" s="51"/>
    </row>
    <row r="66" spans="1:7" s="52" customFormat="1" ht="27" x14ac:dyDescent="0.3">
      <c r="A66" s="54" t="s">
        <v>42</v>
      </c>
      <c r="B66" s="54">
        <v>7</v>
      </c>
      <c r="C66" s="154" t="str">
        <f t="shared" si="5"/>
        <v>0h35min</v>
      </c>
      <c r="D66" s="206" t="s">
        <v>204</v>
      </c>
      <c r="E66" s="271"/>
      <c r="F66" s="272"/>
      <c r="G66" s="51"/>
    </row>
    <row r="67" spans="1:7" s="52" customFormat="1" ht="40.5" x14ac:dyDescent="0.3">
      <c r="A67" s="54" t="s">
        <v>68</v>
      </c>
      <c r="B67" s="54">
        <v>2</v>
      </c>
      <c r="C67" s="154" t="str">
        <f t="shared" si="5"/>
        <v>0h10min</v>
      </c>
      <c r="D67" s="55" t="s">
        <v>141</v>
      </c>
      <c r="E67" s="271"/>
      <c r="F67" s="272"/>
      <c r="G67" s="51"/>
    </row>
    <row r="68" spans="1:7" s="52" customFormat="1" x14ac:dyDescent="0.3">
      <c r="A68" s="54"/>
      <c r="B68" s="54"/>
      <c r="C68" s="154" t="str">
        <f t="shared" si="5"/>
        <v/>
      </c>
      <c r="D68" s="55"/>
      <c r="E68" s="222"/>
      <c r="F68" s="223"/>
      <c r="G68" s="51"/>
    </row>
    <row r="69" spans="1:7" s="52" customFormat="1" ht="67.5" x14ac:dyDescent="0.3">
      <c r="A69" s="54" t="s">
        <v>67</v>
      </c>
      <c r="B69" s="54">
        <v>2</v>
      </c>
      <c r="C69" s="154" t="str">
        <f t="shared" si="5"/>
        <v>0h10min</v>
      </c>
      <c r="D69" s="55" t="s">
        <v>182</v>
      </c>
      <c r="E69" s="222"/>
      <c r="F69" s="223"/>
      <c r="G69" s="51"/>
    </row>
    <row r="70" spans="1:7" s="52" customFormat="1" ht="67.5" x14ac:dyDescent="0.3">
      <c r="A70" s="54" t="s">
        <v>66</v>
      </c>
      <c r="B70" s="54">
        <v>17</v>
      </c>
      <c r="C70" s="154" t="str">
        <f t="shared" si="5"/>
        <v>1h25min</v>
      </c>
      <c r="D70" s="55" t="s">
        <v>182</v>
      </c>
      <c r="E70" s="222"/>
      <c r="F70" s="223"/>
      <c r="G70" s="51"/>
    </row>
    <row r="71" spans="1:7" s="52" customFormat="1" ht="27" x14ac:dyDescent="0.3">
      <c r="A71" s="54" t="s">
        <v>42</v>
      </c>
      <c r="B71" s="54">
        <v>3</v>
      </c>
      <c r="C71" s="154" t="str">
        <f t="shared" si="5"/>
        <v>0h15min</v>
      </c>
      <c r="D71" s="206" t="s">
        <v>204</v>
      </c>
      <c r="E71" s="222"/>
      <c r="F71" s="223"/>
      <c r="G71" s="51"/>
    </row>
    <row r="72" spans="1:7" s="52" customFormat="1" ht="41.25" thickBot="1" x14ac:dyDescent="0.35">
      <c r="A72" s="54" t="s">
        <v>68</v>
      </c>
      <c r="B72" s="54">
        <v>2</v>
      </c>
      <c r="C72" s="154" t="str">
        <f t="shared" si="5"/>
        <v>0h10min</v>
      </c>
      <c r="D72" s="55" t="s">
        <v>141</v>
      </c>
      <c r="E72" s="222"/>
      <c r="F72" s="223"/>
      <c r="G72" s="51"/>
    </row>
    <row r="73" spans="1:7" s="52" customFormat="1" ht="15" thickBot="1" x14ac:dyDescent="0.35">
      <c r="A73" s="162" t="s">
        <v>26</v>
      </c>
      <c r="B73" s="83">
        <f>SUM(B62:B72)</f>
        <v>48</v>
      </c>
      <c r="C73" s="162" t="str">
        <f xml:space="preserve"> setValueToTime(B73)</f>
        <v>4h</v>
      </c>
      <c r="D73" s="121"/>
      <c r="E73" s="275"/>
      <c r="F73" s="276"/>
      <c r="G73" s="51"/>
    </row>
    <row r="74" spans="1:7" s="59" customFormat="1" ht="15" thickBot="1" x14ac:dyDescent="0.35">
      <c r="A74" s="77"/>
      <c r="B74" s="77"/>
      <c r="C74" s="77"/>
      <c r="D74" s="77"/>
      <c r="E74" s="77"/>
      <c r="F74" s="77"/>
      <c r="G74" s="58"/>
    </row>
    <row r="75" spans="1:7" s="47" customFormat="1" ht="30" customHeight="1" thickBot="1" x14ac:dyDescent="0.3">
      <c r="A75" s="156" t="s">
        <v>11</v>
      </c>
      <c r="B75" s="164">
        <v>16</v>
      </c>
      <c r="C75" s="164"/>
      <c r="D75" s="157" t="s">
        <v>14</v>
      </c>
      <c r="E75" s="158" t="s">
        <v>100</v>
      </c>
      <c r="F75" s="159" t="s">
        <v>71</v>
      </c>
      <c r="G75" s="46"/>
    </row>
    <row r="76" spans="1:7" s="47" customFormat="1" ht="30" customHeight="1" thickBot="1" x14ac:dyDescent="0.3">
      <c r="A76" s="78" t="s">
        <v>5</v>
      </c>
      <c r="B76" s="161" t="s">
        <v>37</v>
      </c>
      <c r="C76" s="160"/>
      <c r="D76" s="78" t="s">
        <v>12</v>
      </c>
      <c r="E76" s="277" t="s">
        <v>13</v>
      </c>
      <c r="F76" s="278"/>
      <c r="G76" s="46"/>
    </row>
    <row r="77" spans="1:7" s="52" customFormat="1" ht="27" x14ac:dyDescent="0.3">
      <c r="A77" s="48" t="s">
        <v>44</v>
      </c>
      <c r="B77" s="49">
        <v>2</v>
      </c>
      <c r="C77" s="152" t="str">
        <f xml:space="preserve"> IF(B77="","",setValueToTime(B77))</f>
        <v>0h10min</v>
      </c>
      <c r="D77" s="50"/>
      <c r="E77" s="269"/>
      <c r="F77" s="270"/>
      <c r="G77" s="51"/>
    </row>
    <row r="78" spans="1:7" s="52" customFormat="1" ht="27" x14ac:dyDescent="0.3">
      <c r="A78" s="53" t="s">
        <v>45</v>
      </c>
      <c r="B78" s="54">
        <v>9</v>
      </c>
      <c r="C78" s="153" t="str">
        <f t="shared" ref="C78:C98" si="6" xml:space="preserve"> IF(B78="","",setValueToTime(B78))</f>
        <v>0h45min</v>
      </c>
      <c r="D78" s="55" t="s">
        <v>200</v>
      </c>
      <c r="E78" s="271"/>
      <c r="F78" s="272"/>
      <c r="G78" s="51"/>
    </row>
    <row r="79" spans="1:7" s="52" customFormat="1" x14ac:dyDescent="0.3">
      <c r="A79" s="53"/>
      <c r="B79" s="54"/>
      <c r="C79" s="153" t="str">
        <f t="shared" si="6"/>
        <v/>
      </c>
      <c r="D79" s="55"/>
      <c r="E79" s="271"/>
      <c r="F79" s="272"/>
      <c r="G79" s="51"/>
    </row>
    <row r="80" spans="1:7" s="52" customFormat="1" ht="27" x14ac:dyDescent="0.3">
      <c r="A80" s="53" t="s">
        <v>67</v>
      </c>
      <c r="B80" s="54">
        <v>1</v>
      </c>
      <c r="C80" s="153" t="str">
        <f t="shared" si="6"/>
        <v>0h5min</v>
      </c>
      <c r="D80" s="206" t="s">
        <v>188</v>
      </c>
      <c r="E80" s="271"/>
      <c r="F80" s="272"/>
      <c r="G80" s="51"/>
    </row>
    <row r="81" spans="1:7" s="52" customFormat="1" ht="40.5" x14ac:dyDescent="0.3">
      <c r="A81" s="53" t="s">
        <v>62</v>
      </c>
      <c r="B81" s="54">
        <v>1</v>
      </c>
      <c r="C81" s="154" t="str">
        <f t="shared" si="6"/>
        <v>0h5min</v>
      </c>
      <c r="D81" s="206" t="s">
        <v>189</v>
      </c>
      <c r="E81" s="271"/>
      <c r="F81" s="272"/>
      <c r="G81" s="51"/>
    </row>
    <row r="82" spans="1:7" s="52" customFormat="1" ht="27" x14ac:dyDescent="0.3">
      <c r="A82" s="54" t="s">
        <v>42</v>
      </c>
      <c r="B82" s="54">
        <v>1</v>
      </c>
      <c r="C82" s="154" t="str">
        <f t="shared" si="6"/>
        <v>0h5min</v>
      </c>
      <c r="D82" s="55" t="s">
        <v>190</v>
      </c>
      <c r="E82" s="271"/>
      <c r="F82" s="272"/>
      <c r="G82" s="51"/>
    </row>
    <row r="83" spans="1:7" s="52" customFormat="1" ht="40.5" x14ac:dyDescent="0.3">
      <c r="A83" s="54" t="s">
        <v>68</v>
      </c>
      <c r="B83" s="54">
        <v>2</v>
      </c>
      <c r="C83" s="154" t="str">
        <f t="shared" si="6"/>
        <v>0h10min</v>
      </c>
      <c r="D83" s="55" t="s">
        <v>141</v>
      </c>
      <c r="E83" s="271"/>
      <c r="F83" s="272"/>
      <c r="G83" s="51"/>
    </row>
    <row r="84" spans="1:7" s="52" customFormat="1" x14ac:dyDescent="0.3">
      <c r="A84" s="221"/>
      <c r="B84" s="221"/>
      <c r="C84" s="154" t="str">
        <f t="shared" si="6"/>
        <v/>
      </c>
      <c r="D84" s="180"/>
      <c r="E84" s="181"/>
      <c r="F84" s="182"/>
      <c r="G84" s="51"/>
    </row>
    <row r="85" spans="1:7" s="52" customFormat="1" ht="27" x14ac:dyDescent="0.3">
      <c r="A85" s="221" t="s">
        <v>67</v>
      </c>
      <c r="B85" s="221">
        <v>1</v>
      </c>
      <c r="C85" s="154" t="str">
        <f t="shared" si="6"/>
        <v>0h5min</v>
      </c>
      <c r="D85" s="180" t="s">
        <v>191</v>
      </c>
      <c r="E85" s="181"/>
      <c r="F85" s="182"/>
      <c r="G85" s="51"/>
    </row>
    <row r="86" spans="1:7" s="52" customFormat="1" ht="40.5" x14ac:dyDescent="0.3">
      <c r="A86" s="221" t="s">
        <v>63</v>
      </c>
      <c r="B86" s="221">
        <v>2</v>
      </c>
      <c r="C86" s="154" t="str">
        <f t="shared" si="6"/>
        <v>0h10min</v>
      </c>
      <c r="D86" s="180" t="s">
        <v>192</v>
      </c>
      <c r="E86" s="181"/>
      <c r="F86" s="182"/>
      <c r="G86" s="51"/>
    </row>
    <row r="87" spans="1:7" s="52" customFormat="1" ht="27" x14ac:dyDescent="0.3">
      <c r="A87" s="221" t="s">
        <v>42</v>
      </c>
      <c r="B87" s="221">
        <v>1</v>
      </c>
      <c r="C87" s="154" t="str">
        <f t="shared" si="6"/>
        <v>0h5min</v>
      </c>
      <c r="D87" s="206" t="s">
        <v>204</v>
      </c>
      <c r="E87" s="181"/>
      <c r="F87" s="182"/>
      <c r="G87" s="51"/>
    </row>
    <row r="88" spans="1:7" s="52" customFormat="1" ht="40.5" x14ac:dyDescent="0.3">
      <c r="A88" s="221" t="s">
        <v>68</v>
      </c>
      <c r="B88" s="221">
        <v>1</v>
      </c>
      <c r="C88" s="154" t="str">
        <f t="shared" si="6"/>
        <v>0h5min</v>
      </c>
      <c r="D88" s="180" t="s">
        <v>141</v>
      </c>
      <c r="E88" s="181"/>
      <c r="F88" s="182"/>
      <c r="G88" s="51"/>
    </row>
    <row r="89" spans="1:7" s="52" customFormat="1" x14ac:dyDescent="0.3">
      <c r="A89" s="221"/>
      <c r="B89" s="221"/>
      <c r="C89" s="154" t="str">
        <f t="shared" si="6"/>
        <v/>
      </c>
      <c r="D89" s="180"/>
      <c r="E89" s="181"/>
      <c r="F89" s="182"/>
      <c r="G89" s="51"/>
    </row>
    <row r="90" spans="1:7" s="52" customFormat="1" ht="27" x14ac:dyDescent="0.3">
      <c r="A90" s="221" t="s">
        <v>67</v>
      </c>
      <c r="B90" s="221">
        <v>1</v>
      </c>
      <c r="C90" s="154" t="str">
        <f t="shared" si="6"/>
        <v>0h5min</v>
      </c>
      <c r="D90" s="180" t="s">
        <v>191</v>
      </c>
      <c r="E90" s="181"/>
      <c r="F90" s="182"/>
      <c r="G90" s="51"/>
    </row>
    <row r="91" spans="1:7" s="52" customFormat="1" ht="40.5" x14ac:dyDescent="0.3">
      <c r="A91" s="221" t="s">
        <v>64</v>
      </c>
      <c r="B91" s="221">
        <v>2</v>
      </c>
      <c r="C91" s="154" t="str">
        <f t="shared" si="6"/>
        <v>0h10min</v>
      </c>
      <c r="D91" s="180" t="s">
        <v>193</v>
      </c>
      <c r="E91" s="181"/>
      <c r="F91" s="182"/>
      <c r="G91" s="51"/>
    </row>
    <row r="92" spans="1:7" s="52" customFormat="1" ht="27" x14ac:dyDescent="0.3">
      <c r="A92" s="221" t="s">
        <v>42</v>
      </c>
      <c r="B92" s="221">
        <v>1</v>
      </c>
      <c r="C92" s="154" t="str">
        <f t="shared" si="6"/>
        <v>0h5min</v>
      </c>
      <c r="D92" s="206" t="s">
        <v>204</v>
      </c>
      <c r="E92" s="181"/>
      <c r="F92" s="182"/>
      <c r="G92" s="51"/>
    </row>
    <row r="93" spans="1:7" s="52" customFormat="1" ht="40.5" x14ac:dyDescent="0.3">
      <c r="A93" s="221" t="s">
        <v>68</v>
      </c>
      <c r="B93" s="221">
        <v>1</v>
      </c>
      <c r="C93" s="154" t="str">
        <f t="shared" si="6"/>
        <v>0h5min</v>
      </c>
      <c r="D93" s="180" t="s">
        <v>141</v>
      </c>
      <c r="E93" s="181"/>
      <c r="F93" s="182"/>
      <c r="G93" s="51"/>
    </row>
    <row r="94" spans="1:7" s="52" customFormat="1" x14ac:dyDescent="0.3">
      <c r="A94" s="221"/>
      <c r="B94" s="221"/>
      <c r="C94" s="154" t="str">
        <f t="shared" si="6"/>
        <v/>
      </c>
      <c r="D94" s="180"/>
      <c r="E94" s="181"/>
      <c r="F94" s="182"/>
      <c r="G94" s="51"/>
    </row>
    <row r="95" spans="1:7" s="52" customFormat="1" ht="27" x14ac:dyDescent="0.3">
      <c r="A95" s="221" t="s">
        <v>67</v>
      </c>
      <c r="B95" s="221">
        <v>2</v>
      </c>
      <c r="C95" s="154" t="str">
        <f t="shared" si="6"/>
        <v>0h10min</v>
      </c>
      <c r="D95" s="180" t="s">
        <v>191</v>
      </c>
      <c r="E95" s="181"/>
      <c r="F95" s="182"/>
      <c r="G95" s="51"/>
    </row>
    <row r="96" spans="1:7" s="52" customFormat="1" ht="40.5" x14ac:dyDescent="0.3">
      <c r="A96" s="221" t="s">
        <v>65</v>
      </c>
      <c r="B96" s="221">
        <v>6</v>
      </c>
      <c r="C96" s="154" t="str">
        <f t="shared" si="6"/>
        <v>0h30min</v>
      </c>
      <c r="D96" s="180" t="s">
        <v>194</v>
      </c>
      <c r="E96" s="181"/>
      <c r="F96" s="182"/>
      <c r="G96" s="51"/>
    </row>
    <row r="97" spans="1:7" s="52" customFormat="1" ht="27" x14ac:dyDescent="0.3">
      <c r="A97" s="221" t="s">
        <v>42</v>
      </c>
      <c r="B97" s="221">
        <v>3</v>
      </c>
      <c r="C97" s="154" t="str">
        <f t="shared" si="6"/>
        <v>0h15min</v>
      </c>
      <c r="D97" s="206" t="s">
        <v>204</v>
      </c>
      <c r="E97" s="181"/>
      <c r="F97" s="182"/>
      <c r="G97" s="51"/>
    </row>
    <row r="98" spans="1:7" s="52" customFormat="1" ht="41.25" thickBot="1" x14ac:dyDescent="0.35">
      <c r="A98" s="221" t="s">
        <v>68</v>
      </c>
      <c r="B98" s="221">
        <v>1</v>
      </c>
      <c r="C98" s="154" t="str">
        <f t="shared" si="6"/>
        <v>0h5min</v>
      </c>
      <c r="D98" s="180" t="s">
        <v>141</v>
      </c>
      <c r="E98" s="181"/>
      <c r="F98" s="182"/>
      <c r="G98" s="51"/>
    </row>
    <row r="99" spans="1:7" s="52" customFormat="1" ht="15" thickBot="1" x14ac:dyDescent="0.35">
      <c r="A99" s="162" t="s">
        <v>26</v>
      </c>
      <c r="B99" s="83">
        <f>SUM(B77:B98)</f>
        <v>38</v>
      </c>
      <c r="C99" s="162" t="str">
        <f xml:space="preserve"> setValueToTime(B99)</f>
        <v>3h10min</v>
      </c>
      <c r="D99" s="121"/>
      <c r="E99" s="275"/>
      <c r="F99" s="276"/>
      <c r="G99" s="51"/>
    </row>
    <row r="100" spans="1:7" s="59" customFormat="1" ht="15" thickBot="1" x14ac:dyDescent="0.35">
      <c r="A100" s="77"/>
      <c r="B100" s="77"/>
      <c r="C100" s="77"/>
      <c r="D100" s="77"/>
      <c r="E100" s="77"/>
      <c r="F100" s="77"/>
      <c r="G100" s="58"/>
    </row>
    <row r="101" spans="1:7" s="47" customFormat="1" ht="30" customHeight="1" thickBot="1" x14ac:dyDescent="0.3">
      <c r="A101" s="156" t="s">
        <v>11</v>
      </c>
      <c r="B101" s="164">
        <v>15</v>
      </c>
      <c r="C101" s="164"/>
      <c r="D101" s="157" t="s">
        <v>14</v>
      </c>
      <c r="E101" s="158" t="s">
        <v>82</v>
      </c>
      <c r="F101" s="159" t="s">
        <v>71</v>
      </c>
      <c r="G101" s="46"/>
    </row>
    <row r="102" spans="1:7" s="47" customFormat="1" ht="30" customHeight="1" thickBot="1" x14ac:dyDescent="0.3">
      <c r="A102" s="78" t="s">
        <v>5</v>
      </c>
      <c r="B102" s="161" t="s">
        <v>37</v>
      </c>
      <c r="C102" s="160"/>
      <c r="D102" s="78" t="s">
        <v>12</v>
      </c>
      <c r="E102" s="277" t="s">
        <v>13</v>
      </c>
      <c r="F102" s="278"/>
      <c r="G102" s="46"/>
    </row>
    <row r="103" spans="1:7" s="52" customFormat="1" ht="27" x14ac:dyDescent="0.3">
      <c r="A103" s="48" t="s">
        <v>44</v>
      </c>
      <c r="B103" s="49">
        <v>1</v>
      </c>
      <c r="C103" s="152" t="str">
        <f xml:space="preserve"> IF(B103="","",setValueToTime(B103))</f>
        <v>0h5min</v>
      </c>
      <c r="D103" s="50"/>
      <c r="E103" s="269"/>
      <c r="F103" s="270"/>
      <c r="G103" s="51"/>
    </row>
    <row r="104" spans="1:7" s="52" customFormat="1" ht="27.75" thickBot="1" x14ac:dyDescent="0.35">
      <c r="A104" s="53" t="s">
        <v>45</v>
      </c>
      <c r="B104" s="54">
        <v>37</v>
      </c>
      <c r="C104" s="153" t="str">
        <f t="shared" ref="C104" si="7" xml:space="preserve"> IF(B104="","",setValueToTime(B104))</f>
        <v>3h5min</v>
      </c>
      <c r="D104" s="55" t="s">
        <v>186</v>
      </c>
      <c r="E104" s="279" t="s">
        <v>187</v>
      </c>
      <c r="F104" s="280"/>
      <c r="G104" s="51"/>
    </row>
    <row r="105" spans="1:7" s="52" customFormat="1" ht="15" thickBot="1" x14ac:dyDescent="0.35">
      <c r="A105" s="162" t="s">
        <v>26</v>
      </c>
      <c r="B105" s="83">
        <f>SUM(B103:B104)</f>
        <v>38</v>
      </c>
      <c r="C105" s="162" t="str">
        <f xml:space="preserve"> setValueToTime(B105)</f>
        <v>3h10min</v>
      </c>
      <c r="D105" s="121"/>
      <c r="E105" s="275"/>
      <c r="F105" s="276"/>
      <c r="G105" s="51"/>
    </row>
    <row r="106" spans="1:7" s="59" customFormat="1" ht="15" thickBot="1" x14ac:dyDescent="0.35">
      <c r="A106" s="77"/>
      <c r="B106" s="77"/>
      <c r="C106" s="77"/>
      <c r="D106" s="77"/>
      <c r="E106" s="77"/>
      <c r="F106" s="77"/>
      <c r="G106" s="58"/>
    </row>
    <row r="107" spans="1:7" s="47" customFormat="1" ht="30" customHeight="1" thickBot="1" x14ac:dyDescent="0.3">
      <c r="A107" s="156" t="s">
        <v>11</v>
      </c>
      <c r="B107" s="164">
        <v>14</v>
      </c>
      <c r="C107" s="164"/>
      <c r="D107" s="157" t="s">
        <v>14</v>
      </c>
      <c r="E107" s="158" t="s">
        <v>82</v>
      </c>
      <c r="F107" s="159" t="s">
        <v>72</v>
      </c>
      <c r="G107" s="46"/>
    </row>
    <row r="108" spans="1:7" s="47" customFormat="1" ht="30" customHeight="1" thickBot="1" x14ac:dyDescent="0.3">
      <c r="A108" s="78" t="s">
        <v>5</v>
      </c>
      <c r="B108" s="161" t="s">
        <v>37</v>
      </c>
      <c r="C108" s="160"/>
      <c r="D108" s="78" t="s">
        <v>12</v>
      </c>
      <c r="E108" s="277" t="s">
        <v>13</v>
      </c>
      <c r="F108" s="278"/>
      <c r="G108" s="46"/>
    </row>
    <row r="109" spans="1:7" s="52" customFormat="1" ht="27" x14ac:dyDescent="0.3">
      <c r="A109" s="48" t="s">
        <v>44</v>
      </c>
      <c r="B109" s="49">
        <v>2</v>
      </c>
      <c r="C109" s="152" t="str">
        <f xml:space="preserve"> IF(B109="","",setValueToTime(B109))</f>
        <v>0h10min</v>
      </c>
      <c r="D109" s="50"/>
      <c r="E109" s="269"/>
      <c r="F109" s="270"/>
      <c r="G109" s="51"/>
    </row>
    <row r="110" spans="1:7" s="52" customFormat="1" ht="27.75" thickBot="1" x14ac:dyDescent="0.35">
      <c r="A110" s="53" t="s">
        <v>45</v>
      </c>
      <c r="B110" s="54">
        <v>46</v>
      </c>
      <c r="C110" s="153" t="str">
        <f t="shared" ref="C110" si="8" xml:space="preserve"> IF(B110="","",setValueToTime(B110))</f>
        <v>3h50min</v>
      </c>
      <c r="D110" s="55" t="s">
        <v>185</v>
      </c>
      <c r="E110" s="279" t="s">
        <v>184</v>
      </c>
      <c r="F110" s="280"/>
      <c r="G110" s="51"/>
    </row>
    <row r="111" spans="1:7" s="52" customFormat="1" ht="15" thickBot="1" x14ac:dyDescent="0.35">
      <c r="A111" s="162" t="s">
        <v>26</v>
      </c>
      <c r="B111" s="83">
        <f>SUM(B109:B110)</f>
        <v>48</v>
      </c>
      <c r="C111" s="162" t="str">
        <f xml:space="preserve"> setValueToTime(B111)</f>
        <v>4h</v>
      </c>
      <c r="D111" s="121"/>
      <c r="E111" s="275"/>
      <c r="F111" s="276"/>
      <c r="G111" s="51"/>
    </row>
    <row r="112" spans="1:7" s="59" customFormat="1" ht="15" thickBot="1" x14ac:dyDescent="0.35">
      <c r="A112" s="77"/>
      <c r="B112" s="77"/>
      <c r="C112" s="77"/>
      <c r="D112" s="77"/>
      <c r="E112" s="77"/>
      <c r="F112" s="77"/>
      <c r="G112" s="58"/>
    </row>
    <row r="113" spans="1:7" s="47" customFormat="1" ht="30" customHeight="1" thickBot="1" x14ac:dyDescent="0.3">
      <c r="A113" s="156" t="s">
        <v>11</v>
      </c>
      <c r="B113" s="164">
        <v>13</v>
      </c>
      <c r="C113" s="164"/>
      <c r="D113" s="157" t="s">
        <v>14</v>
      </c>
      <c r="E113" s="158" t="s">
        <v>85</v>
      </c>
      <c r="F113" s="159" t="s">
        <v>71</v>
      </c>
      <c r="G113" s="46"/>
    </row>
    <row r="114" spans="1:7" s="47" customFormat="1" ht="30" customHeight="1" thickBot="1" x14ac:dyDescent="0.3">
      <c r="A114" s="78" t="s">
        <v>5</v>
      </c>
      <c r="B114" s="161" t="s">
        <v>37</v>
      </c>
      <c r="C114" s="160"/>
      <c r="D114" s="78" t="s">
        <v>12</v>
      </c>
      <c r="E114" s="277" t="s">
        <v>13</v>
      </c>
      <c r="F114" s="278"/>
      <c r="G114" s="46"/>
    </row>
    <row r="115" spans="1:7" s="52" customFormat="1" ht="27" x14ac:dyDescent="0.3">
      <c r="A115" s="48" t="s">
        <v>44</v>
      </c>
      <c r="B115" s="49">
        <v>2</v>
      </c>
      <c r="C115" s="152" t="str">
        <f xml:space="preserve"> IF(B115="","",setValueToTime(B115))</f>
        <v>0h10min</v>
      </c>
      <c r="D115" s="50"/>
      <c r="E115" s="269"/>
      <c r="F115" s="270"/>
      <c r="G115" s="51"/>
    </row>
    <row r="116" spans="1:7" s="52" customFormat="1" ht="27" x14ac:dyDescent="0.3">
      <c r="A116" s="53" t="s">
        <v>126</v>
      </c>
      <c r="B116" s="54">
        <v>4</v>
      </c>
      <c r="C116" s="153" t="str">
        <f t="shared" ref="C116:C123" si="9" xml:space="preserve"> IF(B116="","",setValueToTime(B116))</f>
        <v>0h20min</v>
      </c>
      <c r="D116" s="55" t="s">
        <v>178</v>
      </c>
      <c r="E116" s="271"/>
      <c r="F116" s="272"/>
      <c r="G116" s="51"/>
    </row>
    <row r="117" spans="1:7" s="52" customFormat="1" x14ac:dyDescent="0.3">
      <c r="A117" s="53"/>
      <c r="B117" s="54"/>
      <c r="C117" s="153" t="str">
        <f t="shared" si="9"/>
        <v/>
      </c>
      <c r="D117" s="55"/>
      <c r="E117" s="271"/>
      <c r="F117" s="272"/>
      <c r="G117" s="51"/>
    </row>
    <row r="118" spans="1:7" s="52" customFormat="1" ht="40.5" x14ac:dyDescent="0.3">
      <c r="A118" s="53" t="s">
        <v>68</v>
      </c>
      <c r="B118" s="54">
        <v>2</v>
      </c>
      <c r="C118" s="153" t="str">
        <f t="shared" si="9"/>
        <v>0h10min</v>
      </c>
      <c r="D118" s="55" t="s">
        <v>141</v>
      </c>
      <c r="E118" s="271"/>
      <c r="F118" s="272"/>
      <c r="G118" s="51"/>
    </row>
    <row r="119" spans="1:7" s="52" customFormat="1" x14ac:dyDescent="0.3">
      <c r="A119" s="54"/>
      <c r="B119" s="54"/>
      <c r="C119" s="154" t="str">
        <f t="shared" si="9"/>
        <v/>
      </c>
      <c r="D119" s="55"/>
      <c r="E119" s="271"/>
      <c r="F119" s="272"/>
      <c r="G119" s="51"/>
    </row>
    <row r="120" spans="1:7" s="52" customFormat="1" ht="67.5" x14ac:dyDescent="0.3">
      <c r="A120" s="54" t="s">
        <v>67</v>
      </c>
      <c r="B120" s="54">
        <v>1</v>
      </c>
      <c r="C120" s="154" t="str">
        <f t="shared" si="9"/>
        <v>0h5min</v>
      </c>
      <c r="D120" s="55" t="s">
        <v>182</v>
      </c>
      <c r="E120" s="271"/>
      <c r="F120" s="272"/>
      <c r="G120" s="51"/>
    </row>
    <row r="121" spans="1:7" s="52" customFormat="1" ht="67.5" x14ac:dyDescent="0.3">
      <c r="A121" s="54" t="s">
        <v>56</v>
      </c>
      <c r="B121" s="54">
        <v>24</v>
      </c>
      <c r="C121" s="154" t="str">
        <f t="shared" si="9"/>
        <v>2h</v>
      </c>
      <c r="D121" s="55" t="s">
        <v>182</v>
      </c>
      <c r="E121" s="219"/>
      <c r="F121" s="220"/>
      <c r="G121" s="51"/>
    </row>
    <row r="122" spans="1:7" s="52" customFormat="1" ht="27" x14ac:dyDescent="0.3">
      <c r="A122" s="54" t="s">
        <v>42</v>
      </c>
      <c r="B122" s="54">
        <v>3</v>
      </c>
      <c r="C122" s="154" t="str">
        <f t="shared" si="9"/>
        <v>0h15min</v>
      </c>
      <c r="D122" s="55" t="s">
        <v>183</v>
      </c>
      <c r="E122" s="219"/>
      <c r="F122" s="220"/>
      <c r="G122" s="51"/>
    </row>
    <row r="123" spans="1:7" s="52" customFormat="1" ht="41.25" thickBot="1" x14ac:dyDescent="0.35">
      <c r="A123" s="54" t="s">
        <v>68</v>
      </c>
      <c r="B123" s="54">
        <v>2</v>
      </c>
      <c r="C123" s="154" t="str">
        <f t="shared" si="9"/>
        <v>0h10min</v>
      </c>
      <c r="D123" s="55" t="s">
        <v>141</v>
      </c>
      <c r="E123" s="271"/>
      <c r="F123" s="272"/>
      <c r="G123" s="51"/>
    </row>
    <row r="124" spans="1:7" s="52" customFormat="1" ht="15" thickBot="1" x14ac:dyDescent="0.35">
      <c r="A124" s="162" t="s">
        <v>26</v>
      </c>
      <c r="B124" s="83">
        <f>SUM(B115:B123)</f>
        <v>38</v>
      </c>
      <c r="C124" s="162" t="str">
        <f xml:space="preserve"> setValueToTime(B124)</f>
        <v>3h10min</v>
      </c>
      <c r="D124" s="121"/>
      <c r="E124" s="275"/>
      <c r="F124" s="276"/>
      <c r="G124" s="51"/>
    </row>
    <row r="125" spans="1:7" s="59" customFormat="1" ht="15" thickBot="1" x14ac:dyDescent="0.35">
      <c r="A125" s="77"/>
      <c r="B125" s="77"/>
      <c r="C125" s="77"/>
      <c r="D125" s="77"/>
      <c r="E125" s="77"/>
      <c r="F125" s="77"/>
      <c r="G125" s="58"/>
    </row>
    <row r="126" spans="1:7" s="47" customFormat="1" ht="30" customHeight="1" thickBot="1" x14ac:dyDescent="0.3">
      <c r="A126" s="156" t="s">
        <v>11</v>
      </c>
      <c r="B126" s="164">
        <v>12</v>
      </c>
      <c r="C126" s="164"/>
      <c r="D126" s="157" t="s">
        <v>14</v>
      </c>
      <c r="E126" s="158" t="s">
        <v>85</v>
      </c>
      <c r="F126" s="159" t="s">
        <v>69</v>
      </c>
      <c r="G126" s="46"/>
    </row>
    <row r="127" spans="1:7" s="47" customFormat="1" ht="30" customHeight="1" thickBot="1" x14ac:dyDescent="0.3">
      <c r="A127" s="78" t="s">
        <v>5</v>
      </c>
      <c r="B127" s="161" t="s">
        <v>37</v>
      </c>
      <c r="C127" s="160"/>
      <c r="D127" s="78" t="s">
        <v>12</v>
      </c>
      <c r="E127" s="277" t="s">
        <v>13</v>
      </c>
      <c r="F127" s="278"/>
      <c r="G127" s="46"/>
    </row>
    <row r="128" spans="1:7" s="52" customFormat="1" ht="27" x14ac:dyDescent="0.3">
      <c r="A128" s="48" t="s">
        <v>44</v>
      </c>
      <c r="B128" s="49">
        <v>2</v>
      </c>
      <c r="C128" s="152" t="str">
        <f xml:space="preserve"> IF(B128="","",setValueToTime(B128))</f>
        <v>0h10min</v>
      </c>
      <c r="D128" s="50"/>
      <c r="E128" s="269"/>
      <c r="F128" s="270"/>
      <c r="G128" s="51"/>
    </row>
    <row r="129" spans="1:7" s="52" customFormat="1" x14ac:dyDescent="0.3">
      <c r="A129" s="53"/>
      <c r="B129" s="54"/>
      <c r="C129" s="153" t="str">
        <f t="shared" ref="C129:C131" si="10" xml:space="preserve"> IF(B129="","",setValueToTime(B129))</f>
        <v/>
      </c>
      <c r="D129" s="55"/>
      <c r="E129" s="271"/>
      <c r="F129" s="272"/>
      <c r="G129" s="51"/>
    </row>
    <row r="130" spans="1:7" s="52" customFormat="1" ht="108" customHeight="1" x14ac:dyDescent="0.3">
      <c r="A130" s="53" t="s">
        <v>47</v>
      </c>
      <c r="B130" s="54">
        <v>29</v>
      </c>
      <c r="C130" s="153" t="str">
        <f t="shared" si="10"/>
        <v>2h25min</v>
      </c>
      <c r="D130" s="55" t="s">
        <v>180</v>
      </c>
      <c r="E130" s="279" t="s">
        <v>179</v>
      </c>
      <c r="F130" s="280"/>
      <c r="G130" s="51"/>
    </row>
    <row r="131" spans="1:7" s="52" customFormat="1" ht="27.75" thickBot="1" x14ac:dyDescent="0.35">
      <c r="A131" s="53" t="s">
        <v>42</v>
      </c>
      <c r="B131" s="54">
        <v>7</v>
      </c>
      <c r="C131" s="153" t="str">
        <f t="shared" si="10"/>
        <v>0h35min</v>
      </c>
      <c r="D131" s="55" t="s">
        <v>181</v>
      </c>
      <c r="E131" s="271"/>
      <c r="F131" s="272"/>
      <c r="G131" s="51"/>
    </row>
    <row r="132" spans="1:7" s="52" customFormat="1" ht="15" thickBot="1" x14ac:dyDescent="0.35">
      <c r="A132" s="162" t="s">
        <v>26</v>
      </c>
      <c r="B132" s="83">
        <f>SUM(B128:B131)</f>
        <v>38</v>
      </c>
      <c r="C132" s="162" t="str">
        <f xml:space="preserve"> setValueToTime(B132)</f>
        <v>3h10min</v>
      </c>
      <c r="D132" s="121"/>
      <c r="E132" s="275"/>
      <c r="F132" s="276"/>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11</v>
      </c>
      <c r="C134" s="164"/>
      <c r="D134" s="157" t="s">
        <v>14</v>
      </c>
      <c r="E134" s="158" t="s">
        <v>88</v>
      </c>
      <c r="F134" s="159" t="s">
        <v>71</v>
      </c>
      <c r="G134" s="46"/>
    </row>
    <row r="135" spans="1:7" s="47" customFormat="1" ht="30" customHeight="1" thickBot="1" x14ac:dyDescent="0.3">
      <c r="A135" s="78" t="s">
        <v>5</v>
      </c>
      <c r="B135" s="161" t="s">
        <v>37</v>
      </c>
      <c r="C135" s="160"/>
      <c r="D135" s="78" t="s">
        <v>12</v>
      </c>
      <c r="E135" s="277" t="s">
        <v>13</v>
      </c>
      <c r="F135" s="278"/>
      <c r="G135" s="46"/>
    </row>
    <row r="136" spans="1:7" s="52" customFormat="1" ht="27" x14ac:dyDescent="0.3">
      <c r="A136" s="48" t="s">
        <v>44</v>
      </c>
      <c r="B136" s="49">
        <v>2</v>
      </c>
      <c r="C136" s="152" t="str">
        <f xml:space="preserve"> IF(B136="","",setValueToTime(B136))</f>
        <v>0h10min</v>
      </c>
      <c r="D136" s="50"/>
      <c r="E136" s="269"/>
      <c r="F136" s="270"/>
      <c r="G136" s="51"/>
    </row>
    <row r="137" spans="1:7" s="52" customFormat="1" x14ac:dyDescent="0.3">
      <c r="A137" s="53"/>
      <c r="B137" s="54"/>
      <c r="C137" s="153" t="str">
        <f t="shared" ref="C137:C139" si="11" xml:space="preserve"> IF(B137="","",setValueToTime(B137))</f>
        <v/>
      </c>
      <c r="D137" s="55"/>
      <c r="E137" s="271"/>
      <c r="F137" s="272"/>
      <c r="G137" s="51"/>
    </row>
    <row r="138" spans="1:7" s="52" customFormat="1" ht="27" x14ac:dyDescent="0.3">
      <c r="A138" s="53" t="s">
        <v>67</v>
      </c>
      <c r="B138" s="54">
        <v>3</v>
      </c>
      <c r="C138" s="153" t="str">
        <f t="shared" si="11"/>
        <v>0h15min</v>
      </c>
      <c r="D138" s="55" t="s">
        <v>177</v>
      </c>
      <c r="E138" s="271"/>
      <c r="F138" s="272"/>
      <c r="G138" s="51"/>
    </row>
    <row r="139" spans="1:7" s="52" customFormat="1" ht="27.75" thickBot="1" x14ac:dyDescent="0.35">
      <c r="A139" s="53" t="s">
        <v>47</v>
      </c>
      <c r="B139" s="54">
        <v>33</v>
      </c>
      <c r="C139" s="153" t="str">
        <f t="shared" si="11"/>
        <v>2h45min</v>
      </c>
      <c r="D139" s="55" t="s">
        <v>176</v>
      </c>
      <c r="E139" s="271"/>
      <c r="F139" s="272"/>
      <c r="G139" s="51"/>
    </row>
    <row r="140" spans="1:7" s="52" customFormat="1" ht="15" thickBot="1" x14ac:dyDescent="0.35">
      <c r="A140" s="162" t="s">
        <v>26</v>
      </c>
      <c r="B140" s="83">
        <f>SUM(B136:B139)</f>
        <v>38</v>
      </c>
      <c r="C140" s="162" t="str">
        <f xml:space="preserve"> setValueToTime(B140)</f>
        <v>3h10min</v>
      </c>
      <c r="D140" s="121"/>
      <c r="E140" s="275"/>
      <c r="F140" s="276"/>
      <c r="G140" s="51"/>
    </row>
    <row r="141" spans="1:7" s="59" customFormat="1" ht="15" thickBot="1" x14ac:dyDescent="0.35">
      <c r="A141" s="77"/>
      <c r="B141" s="77"/>
      <c r="C141" s="77"/>
      <c r="D141" s="77"/>
      <c r="E141" s="77"/>
      <c r="F141" s="77"/>
      <c r="G141" s="58"/>
    </row>
    <row r="142" spans="1:7" s="47" customFormat="1" ht="30" customHeight="1" thickBot="1" x14ac:dyDescent="0.3">
      <c r="A142" s="156" t="s">
        <v>11</v>
      </c>
      <c r="B142" s="164">
        <v>10</v>
      </c>
      <c r="C142" s="164"/>
      <c r="D142" s="157" t="s">
        <v>14</v>
      </c>
      <c r="E142" s="158" t="s">
        <v>88</v>
      </c>
      <c r="F142" s="159" t="s">
        <v>72</v>
      </c>
      <c r="G142" s="46"/>
    </row>
    <row r="143" spans="1:7" s="47" customFormat="1" ht="30" customHeight="1" thickBot="1" x14ac:dyDescent="0.3">
      <c r="A143" s="78" t="s">
        <v>5</v>
      </c>
      <c r="B143" s="161" t="s">
        <v>37</v>
      </c>
      <c r="C143" s="160"/>
      <c r="D143" s="78" t="s">
        <v>12</v>
      </c>
      <c r="E143" s="277" t="s">
        <v>13</v>
      </c>
      <c r="F143" s="278"/>
      <c r="G143" s="46"/>
    </row>
    <row r="144" spans="1:7" s="52" customFormat="1" ht="27" x14ac:dyDescent="0.3">
      <c r="A144" s="48" t="s">
        <v>44</v>
      </c>
      <c r="B144" s="49">
        <v>2</v>
      </c>
      <c r="C144" s="152" t="str">
        <f xml:space="preserve"> IF(B144="","",setValueToTime(B144))</f>
        <v>0h10min</v>
      </c>
      <c r="D144" s="50"/>
      <c r="E144" s="269"/>
      <c r="F144" s="270"/>
      <c r="G144" s="51"/>
    </row>
    <row r="145" spans="1:7" s="52" customFormat="1" ht="27" x14ac:dyDescent="0.3">
      <c r="A145" s="53" t="s">
        <v>45</v>
      </c>
      <c r="B145" s="54">
        <v>13</v>
      </c>
      <c r="C145" s="153" t="str">
        <f t="shared" ref="C145:C149" si="12" xml:space="preserve"> IF(B145="","",setValueToTime(B145))</f>
        <v>1h5min</v>
      </c>
      <c r="D145" s="55"/>
      <c r="E145" s="271"/>
      <c r="F145" s="272"/>
      <c r="G145" s="51"/>
    </row>
    <row r="146" spans="1:7" s="52" customFormat="1" x14ac:dyDescent="0.3">
      <c r="A146" s="53"/>
      <c r="B146" s="54"/>
      <c r="C146" s="153" t="str">
        <f t="shared" si="12"/>
        <v/>
      </c>
      <c r="D146" s="55"/>
      <c r="E146" s="217"/>
      <c r="F146" s="218"/>
      <c r="G146" s="51"/>
    </row>
    <row r="147" spans="1:7" s="52" customFormat="1" ht="54" x14ac:dyDescent="0.3">
      <c r="A147" s="53" t="s">
        <v>54</v>
      </c>
      <c r="B147" s="54">
        <v>25</v>
      </c>
      <c r="C147" s="153" t="str">
        <f t="shared" si="12"/>
        <v>2h5min</v>
      </c>
      <c r="D147" s="55" t="s">
        <v>174</v>
      </c>
      <c r="E147" s="271"/>
      <c r="F147" s="272"/>
      <c r="G147" s="51"/>
    </row>
    <row r="148" spans="1:7" s="52" customFormat="1" ht="27" x14ac:dyDescent="0.3">
      <c r="A148" s="53" t="s">
        <v>42</v>
      </c>
      <c r="B148" s="54">
        <v>6</v>
      </c>
      <c r="C148" s="153" t="str">
        <f t="shared" si="12"/>
        <v>0h30min</v>
      </c>
      <c r="D148" s="55" t="s">
        <v>175</v>
      </c>
      <c r="E148" s="271"/>
      <c r="F148" s="272"/>
      <c r="G148" s="51"/>
    </row>
    <row r="149" spans="1:7" s="52" customFormat="1" ht="41.25" thickBot="1" x14ac:dyDescent="0.35">
      <c r="A149" s="54" t="s">
        <v>68</v>
      </c>
      <c r="B149" s="54">
        <v>2</v>
      </c>
      <c r="C149" s="154" t="str">
        <f t="shared" si="12"/>
        <v>0h10min</v>
      </c>
      <c r="D149" s="55" t="s">
        <v>141</v>
      </c>
      <c r="E149" s="271"/>
      <c r="F149" s="272"/>
      <c r="G149" s="51"/>
    </row>
    <row r="150" spans="1:7" s="52" customFormat="1" ht="15" thickBot="1" x14ac:dyDescent="0.35">
      <c r="A150" s="162" t="s">
        <v>26</v>
      </c>
      <c r="B150" s="83">
        <f>SUM(B144:B149)</f>
        <v>48</v>
      </c>
      <c r="C150" s="162" t="str">
        <f xml:space="preserve"> setValueToTime(B150)</f>
        <v>4h</v>
      </c>
      <c r="D150" s="121"/>
      <c r="E150" s="275"/>
      <c r="F150" s="276"/>
      <c r="G150" s="51"/>
    </row>
    <row r="151" spans="1:7" s="59" customFormat="1" ht="15" thickBot="1" x14ac:dyDescent="0.35">
      <c r="A151" s="77"/>
      <c r="B151" s="77"/>
      <c r="C151" s="77"/>
      <c r="D151" s="77"/>
      <c r="E151" s="77"/>
      <c r="F151" s="77"/>
      <c r="G151" s="58"/>
    </row>
    <row r="152" spans="1:7" s="47" customFormat="1" ht="30" customHeight="1" thickBot="1" x14ac:dyDescent="0.3">
      <c r="A152" s="156" t="s">
        <v>11</v>
      </c>
      <c r="B152" s="164">
        <v>9</v>
      </c>
      <c r="C152" s="164"/>
      <c r="D152" s="157" t="s">
        <v>14</v>
      </c>
      <c r="E152" s="158" t="s">
        <v>91</v>
      </c>
      <c r="F152" s="159" t="s">
        <v>71</v>
      </c>
      <c r="G152" s="46"/>
    </row>
    <row r="153" spans="1:7" s="47" customFormat="1" ht="30" customHeight="1" thickBot="1" x14ac:dyDescent="0.3">
      <c r="A153" s="78" t="s">
        <v>5</v>
      </c>
      <c r="B153" s="161" t="s">
        <v>37</v>
      </c>
      <c r="C153" s="160"/>
      <c r="D153" s="78" t="s">
        <v>12</v>
      </c>
      <c r="E153" s="277" t="s">
        <v>13</v>
      </c>
      <c r="F153" s="278"/>
      <c r="G153" s="46"/>
    </row>
    <row r="154" spans="1:7" s="52" customFormat="1" ht="27" x14ac:dyDescent="0.3">
      <c r="A154" s="48" t="s">
        <v>44</v>
      </c>
      <c r="B154" s="49">
        <v>2</v>
      </c>
      <c r="C154" s="152" t="str">
        <f xml:space="preserve"> IF(B154="","",setValueToTime(B154))</f>
        <v>0h10min</v>
      </c>
      <c r="D154" s="50"/>
      <c r="E154" s="269"/>
      <c r="F154" s="270"/>
      <c r="G154" s="51"/>
    </row>
    <row r="155" spans="1:7" s="52" customFormat="1" ht="27.75" thickBot="1" x14ac:dyDescent="0.35">
      <c r="A155" s="53" t="s">
        <v>45</v>
      </c>
      <c r="B155" s="54">
        <v>36</v>
      </c>
      <c r="C155" s="153" t="str">
        <f t="shared" ref="C155" si="13" xml:space="preserve"> IF(B155="","",setValueToTime(B155))</f>
        <v>3h</v>
      </c>
      <c r="D155" s="55" t="s">
        <v>172</v>
      </c>
      <c r="E155" s="271"/>
      <c r="F155" s="272"/>
      <c r="G155" s="51"/>
    </row>
    <row r="156" spans="1:7" s="52" customFormat="1" ht="15" thickBot="1" x14ac:dyDescent="0.35">
      <c r="A156" s="162" t="s">
        <v>26</v>
      </c>
      <c r="B156" s="83">
        <f>SUM(B154:B155)</f>
        <v>38</v>
      </c>
      <c r="C156" s="162" t="str">
        <f xml:space="preserve"> setValueToTime(B156)</f>
        <v>3h10min</v>
      </c>
      <c r="D156" s="121"/>
      <c r="E156" s="275"/>
      <c r="F156" s="276"/>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8</v>
      </c>
      <c r="C158" s="164"/>
      <c r="D158" s="157" t="s">
        <v>14</v>
      </c>
      <c r="E158" s="158" t="s">
        <v>91</v>
      </c>
      <c r="F158" s="159" t="s">
        <v>69</v>
      </c>
      <c r="G158" s="46"/>
    </row>
    <row r="159" spans="1:7" s="47" customFormat="1" ht="30" customHeight="1" thickBot="1" x14ac:dyDescent="0.3">
      <c r="A159" s="78" t="s">
        <v>5</v>
      </c>
      <c r="B159" s="161" t="s">
        <v>37</v>
      </c>
      <c r="C159" s="160"/>
      <c r="D159" s="78" t="s">
        <v>12</v>
      </c>
      <c r="E159" s="277" t="s">
        <v>13</v>
      </c>
      <c r="F159" s="278"/>
      <c r="G159" s="46"/>
    </row>
    <row r="160" spans="1:7" s="52" customFormat="1" ht="27" x14ac:dyDescent="0.3">
      <c r="A160" s="48" t="s">
        <v>44</v>
      </c>
      <c r="B160" s="49">
        <v>2</v>
      </c>
      <c r="C160" s="152" t="str">
        <f xml:space="preserve"> IF(B160="","",setValueToTime(B160))</f>
        <v>0h10min</v>
      </c>
      <c r="D160" s="50"/>
      <c r="E160" s="269"/>
      <c r="F160" s="270"/>
      <c r="G160" s="51"/>
    </row>
    <row r="161" spans="1:7" s="52" customFormat="1" ht="27" x14ac:dyDescent="0.3">
      <c r="A161" s="53" t="s">
        <v>45</v>
      </c>
      <c r="B161" s="54">
        <v>19</v>
      </c>
      <c r="C161" s="153" t="str">
        <f t="shared" ref="C161:C164" si="14" xml:space="preserve"> IF(B161="","",setValueToTime(B161))</f>
        <v>1h35min</v>
      </c>
      <c r="D161" s="206" t="s">
        <v>172</v>
      </c>
      <c r="E161" s="271"/>
      <c r="F161" s="272"/>
      <c r="G161" s="51"/>
    </row>
    <row r="162" spans="1:7" s="52" customFormat="1" x14ac:dyDescent="0.3">
      <c r="A162" s="53"/>
      <c r="B162" s="54"/>
      <c r="C162" s="153" t="str">
        <f t="shared" si="14"/>
        <v/>
      </c>
      <c r="D162" s="55"/>
      <c r="E162" s="215"/>
      <c r="F162" s="216"/>
      <c r="G162" s="51"/>
    </row>
    <row r="163" spans="1:7" s="52" customFormat="1" ht="27" x14ac:dyDescent="0.3">
      <c r="A163" s="53" t="s">
        <v>67</v>
      </c>
      <c r="B163" s="54">
        <v>2</v>
      </c>
      <c r="C163" s="153" t="str">
        <f t="shared" si="14"/>
        <v>0h10min</v>
      </c>
      <c r="D163" s="55" t="s">
        <v>173</v>
      </c>
      <c r="E163" s="271"/>
      <c r="F163" s="272"/>
      <c r="G163" s="51"/>
    </row>
    <row r="164" spans="1:7" s="52" customFormat="1" ht="54.75" thickBot="1" x14ac:dyDescent="0.35">
      <c r="A164" s="53" t="s">
        <v>54</v>
      </c>
      <c r="B164" s="54">
        <v>15</v>
      </c>
      <c r="C164" s="153" t="str">
        <f t="shared" si="14"/>
        <v>1h15min</v>
      </c>
      <c r="D164" s="55" t="s">
        <v>174</v>
      </c>
      <c r="E164" s="271"/>
      <c r="F164" s="272"/>
      <c r="G164" s="51"/>
    </row>
    <row r="165" spans="1:7" s="52" customFormat="1" ht="15" thickBot="1" x14ac:dyDescent="0.35">
      <c r="A165" s="162" t="s">
        <v>26</v>
      </c>
      <c r="B165" s="83">
        <f>SUM(B160:B164)</f>
        <v>38</v>
      </c>
      <c r="C165" s="162" t="str">
        <f xml:space="preserve"> setValueToTime(B165)</f>
        <v>3h10min</v>
      </c>
      <c r="D165" s="121"/>
      <c r="E165" s="275"/>
      <c r="F165" s="276"/>
      <c r="G165" s="51"/>
    </row>
    <row r="166" spans="1:7" s="59" customFormat="1" ht="15" thickBot="1" x14ac:dyDescent="0.35">
      <c r="A166" s="77"/>
      <c r="B166" s="77"/>
      <c r="C166" s="77"/>
      <c r="D166" s="77"/>
      <c r="E166" s="77"/>
      <c r="F166" s="77"/>
      <c r="G166" s="58"/>
    </row>
    <row r="167" spans="1:7" s="47" customFormat="1" ht="30" customHeight="1" thickBot="1" x14ac:dyDescent="0.3">
      <c r="A167" s="156" t="s">
        <v>11</v>
      </c>
      <c r="B167" s="164">
        <v>7</v>
      </c>
      <c r="C167" s="164"/>
      <c r="D167" s="157" t="s">
        <v>14</v>
      </c>
      <c r="E167" s="158" t="s">
        <v>74</v>
      </c>
      <c r="F167" s="159" t="s">
        <v>71</v>
      </c>
      <c r="G167" s="46"/>
    </row>
    <row r="168" spans="1:7" s="47" customFormat="1" ht="30" customHeight="1" thickBot="1" x14ac:dyDescent="0.3">
      <c r="A168" s="78" t="s">
        <v>5</v>
      </c>
      <c r="B168" s="161" t="s">
        <v>37</v>
      </c>
      <c r="C168" s="160"/>
      <c r="D168" s="78" t="s">
        <v>12</v>
      </c>
      <c r="E168" s="277" t="s">
        <v>13</v>
      </c>
      <c r="F168" s="278"/>
      <c r="G168" s="46"/>
    </row>
    <row r="169" spans="1:7" s="52" customFormat="1" ht="27" x14ac:dyDescent="0.3">
      <c r="A169" s="48" t="s">
        <v>44</v>
      </c>
      <c r="B169" s="49">
        <v>2</v>
      </c>
      <c r="C169" s="152" t="str">
        <f xml:space="preserve"> IF(B169="","",setValueToTime(B169))</f>
        <v>0h10min</v>
      </c>
      <c r="D169" s="50"/>
      <c r="E169" s="269"/>
      <c r="F169" s="270"/>
      <c r="G169" s="51"/>
    </row>
    <row r="170" spans="1:7" s="52" customFormat="1" ht="27" x14ac:dyDescent="0.3">
      <c r="A170" s="53" t="s">
        <v>45</v>
      </c>
      <c r="B170" s="54">
        <v>20</v>
      </c>
      <c r="C170" s="153" t="str">
        <f t="shared" ref="C170:C180" si="15" xml:space="preserve"> IF(B170="","",setValueToTime(B170))</f>
        <v>1h40min</v>
      </c>
      <c r="D170" s="55"/>
      <c r="E170" s="271"/>
      <c r="F170" s="272"/>
      <c r="G170" s="51"/>
    </row>
    <row r="171" spans="1:7" s="52" customFormat="1" x14ac:dyDescent="0.3">
      <c r="A171" s="53"/>
      <c r="B171" s="54"/>
      <c r="C171" s="153" t="str">
        <f t="shared" si="15"/>
        <v/>
      </c>
      <c r="D171" s="55"/>
      <c r="E171" s="271"/>
      <c r="F171" s="272"/>
      <c r="G171" s="51"/>
    </row>
    <row r="172" spans="1:7" s="52" customFormat="1" ht="40.5" x14ac:dyDescent="0.3">
      <c r="A172" s="53" t="s">
        <v>52</v>
      </c>
      <c r="B172" s="54">
        <v>7</v>
      </c>
      <c r="C172" s="153" t="str">
        <f t="shared" si="15"/>
        <v>0h35min</v>
      </c>
      <c r="D172" s="55"/>
      <c r="E172" s="279" t="s">
        <v>166</v>
      </c>
      <c r="F172" s="280"/>
      <c r="G172" s="51"/>
    </row>
    <row r="173" spans="1:7" s="52" customFormat="1" ht="27" x14ac:dyDescent="0.3">
      <c r="A173" s="54" t="s">
        <v>42</v>
      </c>
      <c r="B173" s="54">
        <v>2</v>
      </c>
      <c r="C173" s="154" t="str">
        <f t="shared" si="15"/>
        <v>0h10min</v>
      </c>
      <c r="D173" s="55" t="s">
        <v>155</v>
      </c>
      <c r="E173" s="271"/>
      <c r="F173" s="272"/>
      <c r="G173" s="51"/>
    </row>
    <row r="174" spans="1:7" s="52" customFormat="1" ht="40.5" x14ac:dyDescent="0.3">
      <c r="A174" s="54" t="s">
        <v>68</v>
      </c>
      <c r="B174" s="54">
        <v>1</v>
      </c>
      <c r="C174" s="154" t="str">
        <f t="shared" si="15"/>
        <v>0h5min</v>
      </c>
      <c r="D174" s="55" t="s">
        <v>141</v>
      </c>
      <c r="E174" s="271"/>
      <c r="F174" s="272"/>
      <c r="G174" s="51"/>
    </row>
    <row r="175" spans="1:7" s="52" customFormat="1" x14ac:dyDescent="0.3">
      <c r="A175" s="54"/>
      <c r="B175" s="54"/>
      <c r="C175" s="154" t="str">
        <f t="shared" si="15"/>
        <v/>
      </c>
      <c r="D175" s="55"/>
      <c r="E175" s="213"/>
      <c r="F175" s="214"/>
      <c r="G175" s="51"/>
    </row>
    <row r="176" spans="1:7" s="52" customFormat="1" ht="27" x14ac:dyDescent="0.3">
      <c r="A176" s="54" t="s">
        <v>67</v>
      </c>
      <c r="B176" s="54">
        <v>1</v>
      </c>
      <c r="C176" s="154" t="str">
        <f t="shared" si="15"/>
        <v>0h5min</v>
      </c>
      <c r="D176" s="55" t="s">
        <v>169</v>
      </c>
      <c r="E176" s="213"/>
      <c r="F176" s="214"/>
      <c r="G176" s="51"/>
    </row>
    <row r="177" spans="1:7" s="52" customFormat="1" ht="40.5" x14ac:dyDescent="0.3">
      <c r="A177" s="54" t="s">
        <v>50</v>
      </c>
      <c r="B177" s="54">
        <v>2</v>
      </c>
      <c r="C177" s="154" t="str">
        <f t="shared" si="15"/>
        <v>0h10min</v>
      </c>
      <c r="D177" s="55" t="s">
        <v>170</v>
      </c>
      <c r="E177" s="279" t="s">
        <v>165</v>
      </c>
      <c r="F177" s="280"/>
      <c r="G177" s="51"/>
    </row>
    <row r="178" spans="1:7" s="52" customFormat="1" ht="27" x14ac:dyDescent="0.3">
      <c r="A178" s="54" t="s">
        <v>42</v>
      </c>
      <c r="B178" s="54">
        <v>2</v>
      </c>
      <c r="C178" s="154" t="str">
        <f t="shared" si="15"/>
        <v>0h10min</v>
      </c>
      <c r="D178" s="55" t="s">
        <v>171</v>
      </c>
      <c r="E178" s="213"/>
      <c r="F178" s="214"/>
      <c r="G178" s="51"/>
    </row>
    <row r="179" spans="1:7" s="52" customFormat="1" ht="40.5" x14ac:dyDescent="0.3">
      <c r="A179" s="54" t="s">
        <v>68</v>
      </c>
      <c r="B179" s="54">
        <v>1</v>
      </c>
      <c r="C179" s="154" t="str">
        <f t="shared" si="15"/>
        <v>0h5min</v>
      </c>
      <c r="D179" s="55" t="s">
        <v>141</v>
      </c>
      <c r="E179" s="271"/>
      <c r="F179" s="272"/>
      <c r="G179" s="51"/>
    </row>
    <row r="180" spans="1:7" s="52" customFormat="1" ht="15" thickBot="1" x14ac:dyDescent="0.35">
      <c r="A180" s="56"/>
      <c r="B180" s="56"/>
      <c r="C180" s="154" t="str">
        <f t="shared" si="15"/>
        <v/>
      </c>
      <c r="D180" s="57"/>
      <c r="E180" s="273"/>
      <c r="F180" s="274"/>
      <c r="G180" s="51"/>
    </row>
    <row r="181" spans="1:7" s="52" customFormat="1" ht="15" thickBot="1" x14ac:dyDescent="0.35">
      <c r="A181" s="162" t="s">
        <v>26</v>
      </c>
      <c r="B181" s="83">
        <f>SUM(B169:B180)</f>
        <v>38</v>
      </c>
      <c r="C181" s="162" t="str">
        <f xml:space="preserve"> setValueToTime(B181)</f>
        <v>3h10min</v>
      </c>
      <c r="D181" s="121"/>
      <c r="E181" s="275"/>
      <c r="F181" s="276"/>
      <c r="G181" s="51"/>
    </row>
    <row r="182" spans="1:7" s="59" customFormat="1" ht="15" thickBot="1" x14ac:dyDescent="0.35">
      <c r="A182" s="77"/>
      <c r="B182" s="77"/>
      <c r="C182" s="77"/>
      <c r="D182" s="77"/>
      <c r="E182" s="77"/>
      <c r="F182" s="77"/>
      <c r="G182" s="58"/>
    </row>
    <row r="183" spans="1:7" s="47" customFormat="1" ht="30" customHeight="1" thickBot="1" x14ac:dyDescent="0.3">
      <c r="A183" s="156" t="s">
        <v>11</v>
      </c>
      <c r="B183" s="164">
        <v>6</v>
      </c>
      <c r="C183" s="164"/>
      <c r="D183" s="157" t="s">
        <v>14</v>
      </c>
      <c r="E183" s="158" t="s">
        <v>74</v>
      </c>
      <c r="F183" s="159" t="s">
        <v>72</v>
      </c>
      <c r="G183" s="46"/>
    </row>
    <row r="184" spans="1:7" s="47" customFormat="1" ht="30" customHeight="1" thickBot="1" x14ac:dyDescent="0.3">
      <c r="A184" s="78" t="s">
        <v>5</v>
      </c>
      <c r="B184" s="161" t="s">
        <v>37</v>
      </c>
      <c r="C184" s="160"/>
      <c r="D184" s="78" t="s">
        <v>12</v>
      </c>
      <c r="E184" s="277" t="s">
        <v>13</v>
      </c>
      <c r="F184" s="278"/>
      <c r="G184" s="46"/>
    </row>
    <row r="185" spans="1:7" s="52" customFormat="1" ht="27" x14ac:dyDescent="0.3">
      <c r="A185" s="48" t="s">
        <v>44</v>
      </c>
      <c r="B185" s="49">
        <v>2</v>
      </c>
      <c r="C185" s="152" t="str">
        <f xml:space="preserve"> IF(B185="","",setValueToTime(B185))</f>
        <v>0h10min</v>
      </c>
      <c r="D185" s="50"/>
      <c r="E185" s="269"/>
      <c r="F185" s="270"/>
      <c r="G185" s="51"/>
    </row>
    <row r="186" spans="1:7" s="52" customFormat="1" ht="27" x14ac:dyDescent="0.3">
      <c r="A186" s="53" t="s">
        <v>126</v>
      </c>
      <c r="B186" s="54">
        <v>2</v>
      </c>
      <c r="C186" s="153" t="str">
        <f t="shared" ref="C186:C199" si="16" xml:space="preserve"> IF(B186="","",setValueToTime(B186))</f>
        <v>0h10min</v>
      </c>
      <c r="D186" s="55" t="s">
        <v>161</v>
      </c>
      <c r="E186" s="271"/>
      <c r="F186" s="272"/>
      <c r="G186" s="51"/>
    </row>
    <row r="187" spans="1:7" s="52" customFormat="1" x14ac:dyDescent="0.3">
      <c r="A187" s="53"/>
      <c r="B187" s="54"/>
      <c r="C187" s="153" t="str">
        <f t="shared" si="16"/>
        <v/>
      </c>
      <c r="D187" s="55"/>
      <c r="E187" s="211"/>
      <c r="F187" s="212"/>
      <c r="G187" s="51"/>
    </row>
    <row r="188" spans="1:7" s="52" customFormat="1" ht="27" x14ac:dyDescent="0.3">
      <c r="A188" s="53" t="s">
        <v>67</v>
      </c>
      <c r="B188" s="54">
        <v>1</v>
      </c>
      <c r="C188" s="153" t="str">
        <f t="shared" si="16"/>
        <v>0h5min</v>
      </c>
      <c r="D188" s="55" t="s">
        <v>158</v>
      </c>
      <c r="E188" s="271"/>
      <c r="F188" s="272"/>
      <c r="G188" s="51"/>
    </row>
    <row r="189" spans="1:7" s="52" customFormat="1" ht="40.5" x14ac:dyDescent="0.3">
      <c r="A189" s="53" t="s">
        <v>53</v>
      </c>
      <c r="B189" s="54">
        <v>2</v>
      </c>
      <c r="C189" s="153" t="str">
        <f t="shared" si="16"/>
        <v>0h10min</v>
      </c>
      <c r="D189" s="55" t="s">
        <v>159</v>
      </c>
      <c r="E189" s="271"/>
      <c r="F189" s="272"/>
      <c r="G189" s="51"/>
    </row>
    <row r="190" spans="1:7" s="52" customFormat="1" ht="27" x14ac:dyDescent="0.3">
      <c r="A190" s="54" t="s">
        <v>42</v>
      </c>
      <c r="B190" s="54">
        <v>1</v>
      </c>
      <c r="C190" s="154" t="str">
        <f t="shared" si="16"/>
        <v>0h5min</v>
      </c>
      <c r="D190" s="55" t="s">
        <v>155</v>
      </c>
      <c r="E190" s="271"/>
      <c r="F190" s="272"/>
      <c r="G190" s="51"/>
    </row>
    <row r="191" spans="1:7" s="52" customFormat="1" ht="40.5" x14ac:dyDescent="0.3">
      <c r="A191" s="54" t="s">
        <v>68</v>
      </c>
      <c r="B191" s="54">
        <v>1</v>
      </c>
      <c r="C191" s="154" t="str">
        <f t="shared" si="16"/>
        <v>0h5min</v>
      </c>
      <c r="D191" s="55" t="s">
        <v>141</v>
      </c>
      <c r="E191" s="271"/>
      <c r="F191" s="272"/>
      <c r="G191" s="51"/>
    </row>
    <row r="192" spans="1:7" s="52" customFormat="1" x14ac:dyDescent="0.3">
      <c r="A192" s="54"/>
      <c r="B192" s="54"/>
      <c r="C192" s="154" t="str">
        <f t="shared" si="16"/>
        <v/>
      </c>
      <c r="D192" s="55"/>
      <c r="E192" s="209"/>
      <c r="F192" s="210"/>
      <c r="G192" s="51"/>
    </row>
    <row r="193" spans="1:7" s="52" customFormat="1" ht="27" x14ac:dyDescent="0.3">
      <c r="A193" s="54" t="s">
        <v>67</v>
      </c>
      <c r="B193" s="54">
        <v>3</v>
      </c>
      <c r="C193" s="154" t="str">
        <f t="shared" si="16"/>
        <v>0h15min</v>
      </c>
      <c r="D193" s="55" t="s">
        <v>162</v>
      </c>
      <c r="E193" s="209"/>
      <c r="F193" s="210"/>
      <c r="G193" s="51"/>
    </row>
    <row r="194" spans="1:7" s="52" customFormat="1" ht="154.5" customHeight="1" x14ac:dyDescent="0.3">
      <c r="A194" s="54" t="s">
        <v>55</v>
      </c>
      <c r="B194" s="54">
        <v>24</v>
      </c>
      <c r="C194" s="154" t="str">
        <f t="shared" si="16"/>
        <v>2h</v>
      </c>
      <c r="D194" s="55" t="s">
        <v>163</v>
      </c>
      <c r="E194" s="279" t="s">
        <v>167</v>
      </c>
      <c r="F194" s="280"/>
      <c r="G194" s="51"/>
    </row>
    <row r="195" spans="1:7" s="52" customFormat="1" ht="27" x14ac:dyDescent="0.3">
      <c r="A195" s="54" t="s">
        <v>42</v>
      </c>
      <c r="B195" s="54">
        <v>4</v>
      </c>
      <c r="C195" s="154" t="str">
        <f t="shared" si="16"/>
        <v>0h20min</v>
      </c>
      <c r="D195" s="55" t="s">
        <v>164</v>
      </c>
      <c r="E195" s="209"/>
      <c r="F195" s="210"/>
      <c r="G195" s="51"/>
    </row>
    <row r="196" spans="1:7" s="52" customFormat="1" ht="40.5" x14ac:dyDescent="0.3">
      <c r="A196" s="54" t="s">
        <v>68</v>
      </c>
      <c r="B196" s="54">
        <v>2</v>
      </c>
      <c r="C196" s="154" t="str">
        <f t="shared" si="16"/>
        <v>0h10min</v>
      </c>
      <c r="D196" s="55" t="s">
        <v>141</v>
      </c>
      <c r="E196" s="209"/>
      <c r="F196" s="210"/>
      <c r="G196" s="51"/>
    </row>
    <row r="197" spans="1:7" s="52" customFormat="1" x14ac:dyDescent="0.3">
      <c r="A197" s="54"/>
      <c r="B197" s="54"/>
      <c r="C197" s="154" t="str">
        <f t="shared" si="16"/>
        <v/>
      </c>
      <c r="D197" s="55"/>
      <c r="E197" s="209"/>
      <c r="F197" s="210"/>
      <c r="G197" s="51"/>
    </row>
    <row r="198" spans="1:7" s="52" customFormat="1" ht="27" x14ac:dyDescent="0.3">
      <c r="A198" s="54" t="s">
        <v>67</v>
      </c>
      <c r="B198" s="54">
        <v>1</v>
      </c>
      <c r="C198" s="154" t="str">
        <f t="shared" si="16"/>
        <v>0h5min</v>
      </c>
      <c r="D198" s="55" t="s">
        <v>168</v>
      </c>
      <c r="E198" s="209"/>
      <c r="F198" s="210"/>
      <c r="G198" s="51"/>
    </row>
    <row r="199" spans="1:7" s="52" customFormat="1" ht="41.25" thickBot="1" x14ac:dyDescent="0.35">
      <c r="A199" s="54" t="s">
        <v>52</v>
      </c>
      <c r="B199" s="54">
        <v>5</v>
      </c>
      <c r="C199" s="154" t="str">
        <f t="shared" si="16"/>
        <v>0h25min</v>
      </c>
      <c r="D199" s="55" t="s">
        <v>168</v>
      </c>
      <c r="E199" s="209"/>
      <c r="F199" s="210"/>
      <c r="G199" s="51"/>
    </row>
    <row r="200" spans="1:7" s="52" customFormat="1" ht="15" thickBot="1" x14ac:dyDescent="0.35">
      <c r="A200" s="162" t="s">
        <v>26</v>
      </c>
      <c r="B200" s="83">
        <f>SUM(B185:B199)</f>
        <v>48</v>
      </c>
      <c r="C200" s="162" t="str">
        <f xml:space="preserve"> setValueToTime(B200)</f>
        <v>4h</v>
      </c>
      <c r="D200" s="121"/>
      <c r="E200" s="275"/>
      <c r="F200" s="276"/>
      <c r="G200" s="51"/>
    </row>
    <row r="201" spans="1:7" s="59" customFormat="1" ht="15" thickBot="1" x14ac:dyDescent="0.35">
      <c r="A201" s="77"/>
      <c r="B201" s="77"/>
      <c r="C201" s="77"/>
      <c r="D201" s="77"/>
      <c r="E201" s="77"/>
      <c r="F201" s="77"/>
      <c r="G201" s="58"/>
    </row>
    <row r="202" spans="1:7" s="47" customFormat="1" ht="30" customHeight="1" thickBot="1" x14ac:dyDescent="0.3">
      <c r="A202" s="156" t="s">
        <v>11</v>
      </c>
      <c r="B202" s="164">
        <v>5</v>
      </c>
      <c r="C202" s="164"/>
      <c r="D202" s="157" t="s">
        <v>14</v>
      </c>
      <c r="E202" s="158" t="s">
        <v>77</v>
      </c>
      <c r="F202" s="159" t="s">
        <v>71</v>
      </c>
      <c r="G202" s="46"/>
    </row>
    <row r="203" spans="1:7" s="47" customFormat="1" ht="30" customHeight="1" thickBot="1" x14ac:dyDescent="0.3">
      <c r="A203" s="78" t="s">
        <v>5</v>
      </c>
      <c r="B203" s="161" t="s">
        <v>37</v>
      </c>
      <c r="C203" s="160"/>
      <c r="D203" s="78" t="s">
        <v>12</v>
      </c>
      <c r="E203" s="277" t="s">
        <v>13</v>
      </c>
      <c r="F203" s="278"/>
      <c r="G203" s="46"/>
    </row>
    <row r="204" spans="1:7" s="52" customFormat="1" ht="27" x14ac:dyDescent="0.3">
      <c r="A204" s="48" t="s">
        <v>44</v>
      </c>
      <c r="B204" s="49">
        <v>2</v>
      </c>
      <c r="C204" s="152" t="str">
        <f xml:space="preserve"> IF(B204="","",setValueToTime(B204))</f>
        <v>0h10min</v>
      </c>
      <c r="D204" s="50"/>
      <c r="E204" s="269"/>
      <c r="F204" s="270"/>
      <c r="G204" s="51"/>
    </row>
    <row r="205" spans="1:7" s="52" customFormat="1" ht="27" x14ac:dyDescent="0.3">
      <c r="A205" s="53" t="s">
        <v>45</v>
      </c>
      <c r="B205" s="54">
        <v>12</v>
      </c>
      <c r="C205" s="153" t="str">
        <f t="shared" ref="C205:C218" si="17" xml:space="preserve"> IF(B205="","",setValueToTime(B205))</f>
        <v>1h</v>
      </c>
      <c r="D205" s="55" t="s">
        <v>146</v>
      </c>
      <c r="E205" s="271"/>
      <c r="F205" s="272"/>
      <c r="G205" s="51"/>
    </row>
    <row r="206" spans="1:7" s="52" customFormat="1" x14ac:dyDescent="0.3">
      <c r="A206" s="53"/>
      <c r="B206" s="54"/>
      <c r="C206" s="153" t="str">
        <f t="shared" si="17"/>
        <v/>
      </c>
      <c r="D206" s="55"/>
      <c r="E206" s="207"/>
      <c r="F206" s="208"/>
      <c r="G206" s="51"/>
    </row>
    <row r="207" spans="1:7" s="52" customFormat="1" ht="27" x14ac:dyDescent="0.3">
      <c r="A207" s="53" t="s">
        <v>67</v>
      </c>
      <c r="B207" s="54">
        <v>1</v>
      </c>
      <c r="C207" s="153" t="str">
        <f t="shared" si="17"/>
        <v>0h5min</v>
      </c>
      <c r="D207" s="55" t="s">
        <v>151</v>
      </c>
      <c r="E207" s="271"/>
      <c r="F207" s="272"/>
      <c r="G207" s="51"/>
    </row>
    <row r="208" spans="1:7" s="52" customFormat="1" ht="40.5" x14ac:dyDescent="0.3">
      <c r="A208" s="53" t="s">
        <v>48</v>
      </c>
      <c r="B208" s="54">
        <v>3</v>
      </c>
      <c r="C208" s="153" t="str">
        <f t="shared" si="17"/>
        <v>0h15min</v>
      </c>
      <c r="D208" s="55" t="s">
        <v>160</v>
      </c>
      <c r="E208" s="271"/>
      <c r="F208" s="272"/>
      <c r="G208" s="51"/>
    </row>
    <row r="209" spans="1:7" s="52" customFormat="1" ht="27" x14ac:dyDescent="0.3">
      <c r="A209" s="54" t="s">
        <v>42</v>
      </c>
      <c r="B209" s="54">
        <v>3</v>
      </c>
      <c r="C209" s="154" t="str">
        <f t="shared" si="17"/>
        <v>0h15min</v>
      </c>
      <c r="D209" s="55" t="s">
        <v>149</v>
      </c>
      <c r="E209" s="271"/>
      <c r="F209" s="272"/>
      <c r="G209" s="51"/>
    </row>
    <row r="210" spans="1:7" s="52" customFormat="1" ht="40.5" x14ac:dyDescent="0.3">
      <c r="A210" s="54" t="s">
        <v>68</v>
      </c>
      <c r="B210" s="54">
        <v>1</v>
      </c>
      <c r="C210" s="154" t="str">
        <f t="shared" si="17"/>
        <v>0h5min</v>
      </c>
      <c r="D210" s="55" t="s">
        <v>141</v>
      </c>
      <c r="E210" s="271"/>
      <c r="F210" s="272"/>
      <c r="G210" s="51"/>
    </row>
    <row r="211" spans="1:7" s="52" customFormat="1" x14ac:dyDescent="0.3">
      <c r="A211" s="54"/>
      <c r="B211" s="54"/>
      <c r="C211" s="154" t="str">
        <f t="shared" si="17"/>
        <v/>
      </c>
      <c r="D211" s="55"/>
      <c r="E211" s="271"/>
      <c r="F211" s="272"/>
      <c r="G211" s="51"/>
    </row>
    <row r="212" spans="1:7" s="52" customFormat="1" ht="40.5" x14ac:dyDescent="0.3">
      <c r="A212" s="54" t="s">
        <v>51</v>
      </c>
      <c r="B212" s="54">
        <v>1</v>
      </c>
      <c r="C212" s="154" t="str">
        <f t="shared" si="17"/>
        <v>0h5min</v>
      </c>
      <c r="D212" s="55" t="s">
        <v>150</v>
      </c>
      <c r="E212" s="271"/>
      <c r="F212" s="272"/>
      <c r="G212" s="51"/>
    </row>
    <row r="213" spans="1:7" s="52" customFormat="1" ht="81" customHeight="1" x14ac:dyDescent="0.3">
      <c r="A213" s="54" t="s">
        <v>42</v>
      </c>
      <c r="B213" s="54">
        <v>1</v>
      </c>
      <c r="C213" s="154" t="str">
        <f t="shared" si="17"/>
        <v>0h5min</v>
      </c>
      <c r="D213" s="55" t="s">
        <v>155</v>
      </c>
      <c r="E213" s="279" t="s">
        <v>152</v>
      </c>
      <c r="F213" s="280"/>
      <c r="G213" s="51"/>
    </row>
    <row r="214" spans="1:7" s="52" customFormat="1" x14ac:dyDescent="0.3">
      <c r="A214" s="54"/>
      <c r="B214" s="54"/>
      <c r="C214" s="154" t="str">
        <f t="shared" si="17"/>
        <v/>
      </c>
      <c r="D214" s="55"/>
      <c r="E214" s="271"/>
      <c r="F214" s="272"/>
      <c r="G214" s="51"/>
    </row>
    <row r="215" spans="1:7" s="52" customFormat="1" ht="27" x14ac:dyDescent="0.3">
      <c r="A215" s="53" t="s">
        <v>67</v>
      </c>
      <c r="B215" s="54">
        <v>3</v>
      </c>
      <c r="C215" s="154" t="str">
        <f t="shared" si="17"/>
        <v>0h15min</v>
      </c>
      <c r="D215" s="55" t="s">
        <v>153</v>
      </c>
      <c r="E215" s="271"/>
      <c r="F215" s="272"/>
      <c r="G215" s="51"/>
    </row>
    <row r="216" spans="1:7" s="52" customFormat="1" ht="109.5" customHeight="1" x14ac:dyDescent="0.3">
      <c r="A216" s="54" t="s">
        <v>49</v>
      </c>
      <c r="B216" s="54">
        <v>7</v>
      </c>
      <c r="C216" s="154" t="str">
        <f t="shared" si="17"/>
        <v>0h35min</v>
      </c>
      <c r="D216" s="55" t="s">
        <v>157</v>
      </c>
      <c r="E216" s="279" t="s">
        <v>154</v>
      </c>
      <c r="F216" s="280"/>
      <c r="G216" s="51"/>
    </row>
    <row r="217" spans="1:7" s="52" customFormat="1" ht="27" x14ac:dyDescent="0.3">
      <c r="A217" s="54" t="s">
        <v>42</v>
      </c>
      <c r="B217" s="54">
        <v>3</v>
      </c>
      <c r="C217" s="154" t="str">
        <f t="shared" si="17"/>
        <v>0h15min</v>
      </c>
      <c r="D217" s="55" t="s">
        <v>156</v>
      </c>
      <c r="E217" s="271"/>
      <c r="F217" s="272"/>
      <c r="G217" s="51"/>
    </row>
    <row r="218" spans="1:7" s="52" customFormat="1" ht="41.25" thickBot="1" x14ac:dyDescent="0.35">
      <c r="A218" s="54" t="s">
        <v>68</v>
      </c>
      <c r="B218" s="54">
        <v>1</v>
      </c>
      <c r="C218" s="154" t="str">
        <f t="shared" si="17"/>
        <v>0h5min</v>
      </c>
      <c r="D218" s="55" t="s">
        <v>141</v>
      </c>
      <c r="E218" s="271"/>
      <c r="F218" s="272"/>
      <c r="G218" s="51"/>
    </row>
    <row r="219" spans="1:7" s="52" customFormat="1" ht="15" thickBot="1" x14ac:dyDescent="0.35">
      <c r="A219" s="162" t="s">
        <v>26</v>
      </c>
      <c r="B219" s="83">
        <f>SUM(B204:B218)</f>
        <v>38</v>
      </c>
      <c r="C219" s="162" t="str">
        <f xml:space="preserve"> setValueToTime(B219)</f>
        <v>3h10min</v>
      </c>
      <c r="D219" s="121"/>
      <c r="E219" s="275"/>
      <c r="F219" s="276"/>
      <c r="G219" s="51"/>
    </row>
    <row r="220" spans="1:7" s="59" customFormat="1" ht="15" thickBot="1" x14ac:dyDescent="0.35">
      <c r="A220" s="77"/>
      <c r="B220" s="77"/>
      <c r="C220" s="77"/>
      <c r="D220" s="77"/>
      <c r="E220" s="77"/>
      <c r="F220" s="77"/>
      <c r="G220" s="58"/>
    </row>
    <row r="221" spans="1:7" s="47" customFormat="1" ht="30" customHeight="1" thickBot="1" x14ac:dyDescent="0.3">
      <c r="A221" s="156" t="s">
        <v>11</v>
      </c>
      <c r="B221" s="164">
        <v>4</v>
      </c>
      <c r="C221" s="164"/>
      <c r="D221" s="157" t="s">
        <v>14</v>
      </c>
      <c r="E221" s="158" t="s">
        <v>79</v>
      </c>
      <c r="F221" s="159" t="s">
        <v>71</v>
      </c>
      <c r="G221" s="46"/>
    </row>
    <row r="222" spans="1:7" s="47" customFormat="1" ht="30" customHeight="1" thickBot="1" x14ac:dyDescent="0.3">
      <c r="A222" s="78" t="s">
        <v>5</v>
      </c>
      <c r="B222" s="161" t="s">
        <v>37</v>
      </c>
      <c r="C222" s="160"/>
      <c r="D222" s="78" t="s">
        <v>12</v>
      </c>
      <c r="E222" s="277" t="s">
        <v>13</v>
      </c>
      <c r="F222" s="278"/>
      <c r="G222" s="46"/>
    </row>
    <row r="223" spans="1:7" s="52" customFormat="1" ht="27" x14ac:dyDescent="0.3">
      <c r="A223" s="48" t="s">
        <v>44</v>
      </c>
      <c r="B223" s="49">
        <v>2</v>
      </c>
      <c r="C223" s="152" t="str">
        <f xml:space="preserve"> IF(B223="","",setValueToTime(B223))</f>
        <v>0h10min</v>
      </c>
      <c r="D223" s="50" t="s">
        <v>132</v>
      </c>
      <c r="E223" s="269"/>
      <c r="F223" s="270"/>
      <c r="G223" s="51"/>
    </row>
    <row r="224" spans="1:7" s="52" customFormat="1" ht="27" x14ac:dyDescent="0.3">
      <c r="A224" s="183" t="s">
        <v>45</v>
      </c>
      <c r="B224" s="184">
        <v>6</v>
      </c>
      <c r="C224" s="153" t="str">
        <f t="shared" ref="C224:C234" si="18" xml:space="preserve"> IF(B224="","",setValueToTime(B224))</f>
        <v>0h30min</v>
      </c>
      <c r="D224" s="185" t="s">
        <v>146</v>
      </c>
      <c r="E224" s="279"/>
      <c r="F224" s="280"/>
      <c r="G224" s="51"/>
    </row>
    <row r="225" spans="1:7" s="52" customFormat="1" x14ac:dyDescent="0.3">
      <c r="A225" s="183"/>
      <c r="B225" s="184"/>
      <c r="C225" s="153"/>
      <c r="D225" s="185"/>
      <c r="E225" s="279"/>
      <c r="F225" s="280"/>
      <c r="G225" s="51"/>
    </row>
    <row r="226" spans="1:7" s="52" customFormat="1" ht="27" x14ac:dyDescent="0.3">
      <c r="A226" s="53" t="s">
        <v>67</v>
      </c>
      <c r="B226" s="54">
        <v>1</v>
      </c>
      <c r="C226" s="153" t="str">
        <f t="shared" si="18"/>
        <v>0h5min</v>
      </c>
      <c r="D226" s="55" t="s">
        <v>136</v>
      </c>
      <c r="E226" s="271"/>
      <c r="F226" s="272"/>
      <c r="G226" s="51"/>
    </row>
    <row r="227" spans="1:7" s="52" customFormat="1" ht="67.5" x14ac:dyDescent="0.3">
      <c r="A227" s="183" t="s">
        <v>112</v>
      </c>
      <c r="B227" s="54">
        <v>6</v>
      </c>
      <c r="C227" s="153" t="str">
        <f t="shared" si="18"/>
        <v>0h30min</v>
      </c>
      <c r="D227" s="206" t="s">
        <v>148</v>
      </c>
      <c r="E227" s="279" t="s">
        <v>137</v>
      </c>
      <c r="F227" s="280"/>
      <c r="G227" s="51"/>
    </row>
    <row r="228" spans="1:7" s="52" customFormat="1" ht="27" x14ac:dyDescent="0.3">
      <c r="A228" s="183" t="s">
        <v>42</v>
      </c>
      <c r="B228" s="54">
        <v>4</v>
      </c>
      <c r="C228" s="153" t="str">
        <f t="shared" si="18"/>
        <v>0h20min</v>
      </c>
      <c r="D228" s="55" t="s">
        <v>142</v>
      </c>
      <c r="E228" s="279" t="s">
        <v>138</v>
      </c>
      <c r="F228" s="280"/>
      <c r="G228" s="51"/>
    </row>
    <row r="229" spans="1:7" s="52" customFormat="1" ht="40.5" x14ac:dyDescent="0.3">
      <c r="A229" s="54" t="s">
        <v>68</v>
      </c>
      <c r="B229" s="54">
        <v>2</v>
      </c>
      <c r="C229" s="154" t="str">
        <f t="shared" si="18"/>
        <v>0h10min</v>
      </c>
      <c r="D229" s="55" t="s">
        <v>139</v>
      </c>
      <c r="E229" s="271"/>
      <c r="F229" s="272"/>
      <c r="G229" s="51"/>
    </row>
    <row r="230" spans="1:7" s="52" customFormat="1" x14ac:dyDescent="0.3">
      <c r="A230" s="54"/>
      <c r="B230" s="54"/>
      <c r="C230" s="154" t="str">
        <f t="shared" si="18"/>
        <v/>
      </c>
      <c r="D230" s="55"/>
      <c r="E230" s="271"/>
      <c r="F230" s="272"/>
      <c r="G230" s="51"/>
    </row>
    <row r="231" spans="1:7" s="52" customFormat="1" ht="27" x14ac:dyDescent="0.3">
      <c r="A231" s="53" t="s">
        <v>67</v>
      </c>
      <c r="B231" s="54">
        <v>1</v>
      </c>
      <c r="C231" s="154" t="str">
        <f t="shared" si="18"/>
        <v>0h5min</v>
      </c>
      <c r="D231" s="55" t="s">
        <v>140</v>
      </c>
      <c r="E231" s="271"/>
      <c r="F231" s="272"/>
      <c r="G231" s="51"/>
    </row>
    <row r="232" spans="1:7" s="52" customFormat="1" ht="67.5" customHeight="1" x14ac:dyDescent="0.3">
      <c r="A232" s="54" t="s">
        <v>51</v>
      </c>
      <c r="B232" s="54">
        <v>9</v>
      </c>
      <c r="C232" s="154" t="str">
        <f t="shared" si="18"/>
        <v>0h45min</v>
      </c>
      <c r="D232" s="206" t="s">
        <v>143</v>
      </c>
      <c r="E232" s="279" t="s">
        <v>144</v>
      </c>
      <c r="F232" s="280"/>
      <c r="G232" s="51"/>
    </row>
    <row r="233" spans="1:7" s="52" customFormat="1" ht="67.5" customHeight="1" x14ac:dyDescent="0.3">
      <c r="A233" s="183" t="s">
        <v>42</v>
      </c>
      <c r="B233" s="54">
        <v>5</v>
      </c>
      <c r="C233" s="154" t="str">
        <f t="shared" si="18"/>
        <v>0h25min</v>
      </c>
      <c r="D233" s="55" t="s">
        <v>142</v>
      </c>
      <c r="E233" s="279" t="s">
        <v>145</v>
      </c>
      <c r="F233" s="280"/>
      <c r="G233" s="51"/>
    </row>
    <row r="234" spans="1:7" s="52" customFormat="1" ht="41.25" thickBot="1" x14ac:dyDescent="0.35">
      <c r="A234" s="54" t="s">
        <v>68</v>
      </c>
      <c r="B234" s="54">
        <v>2</v>
      </c>
      <c r="C234" s="154" t="str">
        <f t="shared" si="18"/>
        <v>0h10min</v>
      </c>
      <c r="D234" s="55" t="s">
        <v>141</v>
      </c>
      <c r="E234" s="279"/>
      <c r="F234" s="280"/>
      <c r="G234" s="51"/>
    </row>
    <row r="235" spans="1:7" s="52" customFormat="1" ht="15" thickBot="1" x14ac:dyDescent="0.35">
      <c r="A235" s="162" t="s">
        <v>26</v>
      </c>
      <c r="B235" s="83">
        <f>SUM(B223:B234)</f>
        <v>38</v>
      </c>
      <c r="C235" s="162" t="str">
        <f xml:space="preserve"> setValueToTime(B235)</f>
        <v>3h10min</v>
      </c>
      <c r="D235" s="121"/>
      <c r="E235" s="275"/>
      <c r="F235" s="276"/>
      <c r="G235" s="51"/>
    </row>
    <row r="236" spans="1:7" s="59" customFormat="1" ht="15" thickBot="1" x14ac:dyDescent="0.35">
      <c r="A236" s="77"/>
      <c r="B236" s="77"/>
      <c r="C236" s="77"/>
      <c r="D236" s="77"/>
      <c r="E236" s="77"/>
      <c r="F236" s="77"/>
      <c r="G236" s="58"/>
    </row>
    <row r="237" spans="1:7" s="47" customFormat="1" ht="30" customHeight="1" thickBot="1" x14ac:dyDescent="0.3">
      <c r="A237" s="156" t="s">
        <v>11</v>
      </c>
      <c r="B237" s="164">
        <v>3</v>
      </c>
      <c r="C237" s="164"/>
      <c r="D237" s="157" t="s">
        <v>14</v>
      </c>
      <c r="E237" s="158" t="s">
        <v>79</v>
      </c>
      <c r="F237" s="159" t="s">
        <v>72</v>
      </c>
      <c r="G237" s="46"/>
    </row>
    <row r="238" spans="1:7" s="47" customFormat="1" ht="30" customHeight="1" thickBot="1" x14ac:dyDescent="0.3">
      <c r="A238" s="78" t="s">
        <v>5</v>
      </c>
      <c r="B238" s="161" t="s">
        <v>37</v>
      </c>
      <c r="C238" s="160"/>
      <c r="D238" s="78" t="s">
        <v>12</v>
      </c>
      <c r="E238" s="277" t="s">
        <v>13</v>
      </c>
      <c r="F238" s="278"/>
      <c r="G238" s="46"/>
    </row>
    <row r="239" spans="1:7" s="52" customFormat="1" ht="27" x14ac:dyDescent="0.3">
      <c r="A239" s="48" t="s">
        <v>44</v>
      </c>
      <c r="B239" s="49">
        <v>1</v>
      </c>
      <c r="C239" s="152" t="str">
        <f xml:space="preserve"> IF(B239="","",setValueToTime(B239))</f>
        <v>0h5min</v>
      </c>
      <c r="D239" s="50" t="s">
        <v>132</v>
      </c>
      <c r="E239" s="269"/>
      <c r="F239" s="270"/>
      <c r="G239" s="51"/>
    </row>
    <row r="240" spans="1:7" s="52" customFormat="1" ht="94.5" x14ac:dyDescent="0.3">
      <c r="A240" s="53" t="s">
        <v>45</v>
      </c>
      <c r="B240" s="54">
        <v>22</v>
      </c>
      <c r="C240" s="153" t="str">
        <f xml:space="preserve"> IF(B240="","",setValueToTime(B240))</f>
        <v>1h50min</v>
      </c>
      <c r="D240" s="206" t="s">
        <v>147</v>
      </c>
      <c r="E240" s="279" t="s">
        <v>133</v>
      </c>
      <c r="F240" s="280"/>
      <c r="G240" s="51"/>
    </row>
    <row r="241" spans="1:7" s="52" customFormat="1" ht="41.25" thickBot="1" x14ac:dyDescent="0.35">
      <c r="A241" s="53" t="s">
        <v>41</v>
      </c>
      <c r="B241" s="54">
        <v>25</v>
      </c>
      <c r="C241" s="153" t="str">
        <f t="shared" ref="C241" si="19" xml:space="preserve"> IF(B241="","",setValueToTime(B241))</f>
        <v>2h5min</v>
      </c>
      <c r="D241" s="55" t="s">
        <v>134</v>
      </c>
      <c r="E241" s="279" t="s">
        <v>135</v>
      </c>
      <c r="F241" s="280"/>
      <c r="G241" s="51"/>
    </row>
    <row r="242" spans="1:7" s="52" customFormat="1" ht="15" thickBot="1" x14ac:dyDescent="0.35">
      <c r="A242" s="162" t="s">
        <v>26</v>
      </c>
      <c r="B242" s="83">
        <f>SUM(B239:B241)</f>
        <v>48</v>
      </c>
      <c r="C242" s="162" t="str">
        <f xml:space="preserve"> setValueToTime(B242)</f>
        <v>4h</v>
      </c>
      <c r="D242" s="121"/>
      <c r="E242" s="275"/>
      <c r="F242" s="276"/>
      <c r="G242" s="51"/>
    </row>
    <row r="243" spans="1:7" s="59" customFormat="1" ht="15" thickBot="1" x14ac:dyDescent="0.35">
      <c r="A243" s="77"/>
      <c r="B243" s="77"/>
      <c r="C243" s="77"/>
      <c r="D243" s="77"/>
      <c r="E243" s="77"/>
      <c r="F243" s="77"/>
      <c r="G243" s="58"/>
    </row>
    <row r="244" spans="1:7" s="47" customFormat="1" ht="30" customHeight="1" thickBot="1" x14ac:dyDescent="0.3">
      <c r="A244" s="156" t="s">
        <v>11</v>
      </c>
      <c r="B244" s="164">
        <v>2</v>
      </c>
      <c r="C244" s="164"/>
      <c r="D244" s="157" t="s">
        <v>14</v>
      </c>
      <c r="E244" s="158" t="s">
        <v>80</v>
      </c>
      <c r="F244" s="159" t="s">
        <v>71</v>
      </c>
      <c r="G244" s="46"/>
    </row>
    <row r="245" spans="1:7" s="47" customFormat="1" ht="30" customHeight="1" thickBot="1" x14ac:dyDescent="0.3">
      <c r="A245" s="78" t="s">
        <v>5</v>
      </c>
      <c r="B245" s="161" t="s">
        <v>37</v>
      </c>
      <c r="C245" s="160"/>
      <c r="D245" s="78" t="s">
        <v>12</v>
      </c>
      <c r="E245" s="277" t="s">
        <v>13</v>
      </c>
      <c r="F245" s="278"/>
      <c r="G245" s="46"/>
    </row>
    <row r="246" spans="1:7" s="52" customFormat="1" ht="27" x14ac:dyDescent="0.3">
      <c r="A246" s="48" t="s">
        <v>43</v>
      </c>
      <c r="B246" s="49">
        <v>36</v>
      </c>
      <c r="C246" s="152" t="s">
        <v>23</v>
      </c>
      <c r="D246" s="50" t="s">
        <v>70</v>
      </c>
      <c r="E246" s="269"/>
      <c r="F246" s="270"/>
      <c r="G246" s="51"/>
    </row>
    <row r="247" spans="1:7" s="52" customFormat="1" ht="27.75" thickBot="1" x14ac:dyDescent="0.35">
      <c r="A247" s="53" t="s">
        <v>41</v>
      </c>
      <c r="B247" s="54">
        <v>2</v>
      </c>
      <c r="C247" s="153" t="s">
        <v>115</v>
      </c>
      <c r="D247" s="55" t="s">
        <v>113</v>
      </c>
      <c r="E247" s="271"/>
      <c r="F247" s="272"/>
      <c r="G247" s="51"/>
    </row>
    <row r="248" spans="1:7" s="52" customFormat="1" ht="15" thickBot="1" x14ac:dyDescent="0.35">
      <c r="A248" s="162" t="s">
        <v>26</v>
      </c>
      <c r="B248" s="83">
        <f>SUM(B246:B247)</f>
        <v>38</v>
      </c>
      <c r="C248" s="162" t="str">
        <f xml:space="preserve"> setValueToTime(B248)</f>
        <v>3h10min</v>
      </c>
      <c r="D248" s="121"/>
      <c r="E248" s="275"/>
      <c r="F248" s="276"/>
      <c r="G248" s="51"/>
    </row>
    <row r="249" spans="1:7" s="59" customFormat="1" ht="15" thickBot="1" x14ac:dyDescent="0.35">
      <c r="A249" s="77"/>
      <c r="B249" s="77"/>
      <c r="C249" s="77"/>
      <c r="D249" s="77"/>
      <c r="E249" s="77"/>
      <c r="F249" s="77"/>
      <c r="G249" s="58"/>
    </row>
    <row r="250" spans="1:7" s="47" customFormat="1" ht="30" customHeight="1" thickBot="1" x14ac:dyDescent="0.3">
      <c r="A250" s="156" t="s">
        <v>11</v>
      </c>
      <c r="B250" s="164">
        <v>1</v>
      </c>
      <c r="C250" s="164"/>
      <c r="D250" s="157" t="s">
        <v>14</v>
      </c>
      <c r="E250" s="158" t="s">
        <v>80</v>
      </c>
      <c r="F250" s="159" t="s">
        <v>69</v>
      </c>
      <c r="G250" s="46"/>
    </row>
    <row r="251" spans="1:7" s="47" customFormat="1" ht="30" customHeight="1" thickBot="1" x14ac:dyDescent="0.3">
      <c r="A251" s="78" t="s">
        <v>5</v>
      </c>
      <c r="B251" s="161" t="s">
        <v>37</v>
      </c>
      <c r="C251" s="160"/>
      <c r="D251" s="78" t="s">
        <v>12</v>
      </c>
      <c r="E251" s="277" t="s">
        <v>13</v>
      </c>
      <c r="F251" s="278"/>
      <c r="G251" s="46"/>
    </row>
    <row r="252" spans="1:7" s="52" customFormat="1" ht="27" x14ac:dyDescent="0.3">
      <c r="A252" s="48" t="s">
        <v>41</v>
      </c>
      <c r="B252" s="49">
        <v>17</v>
      </c>
      <c r="C252" s="152" t="s">
        <v>110</v>
      </c>
      <c r="D252" s="50" t="s">
        <v>114</v>
      </c>
      <c r="E252" s="269"/>
      <c r="F252" s="270"/>
      <c r="G252" s="51"/>
    </row>
    <row r="253" spans="1:7" s="52" customFormat="1" ht="27.75" thickBot="1" x14ac:dyDescent="0.35">
      <c r="A253" s="53" t="s">
        <v>43</v>
      </c>
      <c r="B253" s="54">
        <v>21</v>
      </c>
      <c r="C253" s="153" t="s">
        <v>111</v>
      </c>
      <c r="D253" s="55" t="s">
        <v>70</v>
      </c>
      <c r="E253" s="271"/>
      <c r="F253" s="272"/>
      <c r="G253" s="51"/>
    </row>
    <row r="254" spans="1:7" s="52" customFormat="1" ht="15" thickBot="1" x14ac:dyDescent="0.35">
      <c r="A254" s="162" t="s">
        <v>26</v>
      </c>
      <c r="B254" s="83">
        <f>SUM(B252:B253)</f>
        <v>38</v>
      </c>
      <c r="C254" s="162" t="str">
        <f xml:space="preserve"> setValueToTime(B254)</f>
        <v>3h10min</v>
      </c>
      <c r="D254" s="121"/>
      <c r="E254" s="275"/>
      <c r="F254" s="276"/>
      <c r="G254" s="51"/>
    </row>
    <row r="255" spans="1:7" s="59" customFormat="1" x14ac:dyDescent="0.3">
      <c r="A255" s="77"/>
      <c r="B255" s="77"/>
      <c r="C255" s="77"/>
      <c r="D255" s="77"/>
      <c r="E255" s="77"/>
      <c r="F255" s="77"/>
      <c r="G255" s="58"/>
    </row>
  </sheetData>
  <sheetProtection formatRows="0" insertRows="0" insertHyperlinks="0" deleteRows="0" selectLockedCells="1"/>
  <mergeCells count="154">
    <mergeCell ref="E18:F18"/>
    <mergeCell ref="E15:F15"/>
    <mergeCell ref="E16:F16"/>
    <mergeCell ref="E17:F17"/>
    <mergeCell ref="E42:F42"/>
    <mergeCell ref="E21:F21"/>
    <mergeCell ref="E22:F22"/>
    <mergeCell ref="E23:F23"/>
    <mergeCell ref="E24:F24"/>
    <mergeCell ref="E25:F25"/>
    <mergeCell ref="E26:F26"/>
    <mergeCell ref="E29:F29"/>
    <mergeCell ref="E58:F58"/>
    <mergeCell ref="E45:F45"/>
    <mergeCell ref="E46:F46"/>
    <mergeCell ref="E47:F47"/>
    <mergeCell ref="E48:F48"/>
    <mergeCell ref="E49:F49"/>
    <mergeCell ref="E50:F50"/>
    <mergeCell ref="E51:F51"/>
    <mergeCell ref="E52:F52"/>
    <mergeCell ref="E145:F145"/>
    <mergeCell ref="E147:F147"/>
    <mergeCell ref="E149:F149"/>
    <mergeCell ref="E150:F150"/>
    <mergeCell ref="E111:F111"/>
    <mergeCell ref="E108:F108"/>
    <mergeCell ref="E109:F109"/>
    <mergeCell ref="E110:F110"/>
    <mergeCell ref="E124:F124"/>
    <mergeCell ref="E114:F114"/>
    <mergeCell ref="E115:F115"/>
    <mergeCell ref="E116:F116"/>
    <mergeCell ref="E117:F117"/>
    <mergeCell ref="E118:F118"/>
    <mergeCell ref="E119:F119"/>
    <mergeCell ref="E120:F120"/>
    <mergeCell ref="E123:F123"/>
    <mergeCell ref="E245:F245"/>
    <mergeCell ref="E246:F246"/>
    <mergeCell ref="E247:F247"/>
    <mergeCell ref="E254:F254"/>
    <mergeCell ref="E251:F251"/>
    <mergeCell ref="E252:F252"/>
    <mergeCell ref="E253:F253"/>
    <mergeCell ref="E248:F248"/>
    <mergeCell ref="E229:F229"/>
    <mergeCell ref="E230:F230"/>
    <mergeCell ref="E235:F235"/>
    <mergeCell ref="E231:F231"/>
    <mergeCell ref="E232:F232"/>
    <mergeCell ref="E233:F233"/>
    <mergeCell ref="E234:F234"/>
    <mergeCell ref="E228:F228"/>
    <mergeCell ref="E224:F224"/>
    <mergeCell ref="E225:F225"/>
    <mergeCell ref="E242:F242"/>
    <mergeCell ref="E238:F238"/>
    <mergeCell ref="E239:F239"/>
    <mergeCell ref="E240:F240"/>
    <mergeCell ref="E241:F241"/>
    <mergeCell ref="E211:F211"/>
    <mergeCell ref="E218:F218"/>
    <mergeCell ref="E217:F217"/>
    <mergeCell ref="E216:F216"/>
    <mergeCell ref="E215:F215"/>
    <mergeCell ref="E214:F214"/>
    <mergeCell ref="E219:F219"/>
    <mergeCell ref="E213:F213"/>
    <mergeCell ref="E212:F212"/>
    <mergeCell ref="E222:F222"/>
    <mergeCell ref="E223:F223"/>
    <mergeCell ref="E226:F226"/>
    <mergeCell ref="E227:F227"/>
    <mergeCell ref="E173:F173"/>
    <mergeCell ref="E174:F174"/>
    <mergeCell ref="E179:F179"/>
    <mergeCell ref="E180:F180"/>
    <mergeCell ref="E181:F181"/>
    <mergeCell ref="E177:F177"/>
    <mergeCell ref="E203:F203"/>
    <mergeCell ref="E204:F204"/>
    <mergeCell ref="E205:F205"/>
    <mergeCell ref="E185:F185"/>
    <mergeCell ref="E186:F186"/>
    <mergeCell ref="E188:F188"/>
    <mergeCell ref="E189:F189"/>
    <mergeCell ref="E207:F207"/>
    <mergeCell ref="E208:F208"/>
    <mergeCell ref="E209:F209"/>
    <mergeCell ref="E210:F210"/>
    <mergeCell ref="E190:F190"/>
    <mergeCell ref="E191:F191"/>
    <mergeCell ref="E200:F200"/>
    <mergeCell ref="E194:F194"/>
    <mergeCell ref="E184:F184"/>
    <mergeCell ref="E169:F169"/>
    <mergeCell ref="E170:F170"/>
    <mergeCell ref="E171:F171"/>
    <mergeCell ref="E172:F172"/>
    <mergeCell ref="E165:F165"/>
    <mergeCell ref="E159:F159"/>
    <mergeCell ref="E160:F160"/>
    <mergeCell ref="E161:F161"/>
    <mergeCell ref="E163:F163"/>
    <mergeCell ref="E164:F164"/>
    <mergeCell ref="E79:F79"/>
    <mergeCell ref="E80:F80"/>
    <mergeCell ref="E81:F81"/>
    <mergeCell ref="E82:F82"/>
    <mergeCell ref="E83:F83"/>
    <mergeCell ref="E127:F127"/>
    <mergeCell ref="E128:F128"/>
    <mergeCell ref="E129:F129"/>
    <mergeCell ref="E168:F168"/>
    <mergeCell ref="E130:F130"/>
    <mergeCell ref="E131:F131"/>
    <mergeCell ref="E132:F132"/>
    <mergeCell ref="E153:F153"/>
    <mergeCell ref="E154:F154"/>
    <mergeCell ref="E155:F155"/>
    <mergeCell ref="E148:F148"/>
    <mergeCell ref="E140:F140"/>
    <mergeCell ref="E135:F135"/>
    <mergeCell ref="E136:F136"/>
    <mergeCell ref="E137:F137"/>
    <mergeCell ref="E138:F138"/>
    <mergeCell ref="E139:F139"/>
    <mergeCell ref="E143:F143"/>
    <mergeCell ref="E144:F144"/>
    <mergeCell ref="E12:F12"/>
    <mergeCell ref="E3:F3"/>
    <mergeCell ref="E4:F4"/>
    <mergeCell ref="E5:F5"/>
    <mergeCell ref="E6:F6"/>
    <mergeCell ref="E9:F9"/>
    <mergeCell ref="E10:F10"/>
    <mergeCell ref="E11:F11"/>
    <mergeCell ref="E156:F156"/>
    <mergeCell ref="E105:F105"/>
    <mergeCell ref="E102:F102"/>
    <mergeCell ref="E103:F103"/>
    <mergeCell ref="E104:F104"/>
    <mergeCell ref="E73:F73"/>
    <mergeCell ref="E61:F61"/>
    <mergeCell ref="E62:F62"/>
    <mergeCell ref="E64:F64"/>
    <mergeCell ref="E65:F65"/>
    <mergeCell ref="E66:F66"/>
    <mergeCell ref="E67:F67"/>
    <mergeCell ref="E99:F99"/>
    <mergeCell ref="E76:F76"/>
    <mergeCell ref="E77:F77"/>
    <mergeCell ref="E78:F78"/>
  </mergeCells>
  <phoneticPr fontId="0" type="noConversion"/>
  <conditionalFormatting sqref="B254">
    <cfRule type="cellIs" dxfId="23" priority="22" operator="greaterThan">
      <formula>60</formula>
    </cfRule>
  </conditionalFormatting>
  <conditionalFormatting sqref="B248">
    <cfRule type="cellIs" dxfId="22" priority="21" operator="greaterThan">
      <formula>60</formula>
    </cfRule>
  </conditionalFormatting>
  <conditionalFormatting sqref="B242">
    <cfRule type="cellIs" dxfId="21" priority="20" operator="greaterThan">
      <formula>60</formula>
    </cfRule>
  </conditionalFormatting>
  <conditionalFormatting sqref="B235">
    <cfRule type="cellIs" dxfId="20" priority="19" operator="greaterThan">
      <formula>60</formula>
    </cfRule>
  </conditionalFormatting>
  <conditionalFormatting sqref="B219">
    <cfRule type="cellIs" dxfId="19" priority="18" operator="greaterThan">
      <formula>60</formula>
    </cfRule>
  </conditionalFormatting>
  <conditionalFormatting sqref="B200">
    <cfRule type="cellIs" dxfId="18" priority="17" operator="greaterThan">
      <formula>60</formula>
    </cfRule>
  </conditionalFormatting>
  <conditionalFormatting sqref="B181">
    <cfRule type="cellIs" dxfId="17" priority="16" operator="greaterThan">
      <formula>60</formula>
    </cfRule>
  </conditionalFormatting>
  <conditionalFormatting sqref="B165">
    <cfRule type="cellIs" dxfId="16" priority="15" operator="greaterThan">
      <formula>60</formula>
    </cfRule>
  </conditionalFormatting>
  <conditionalFormatting sqref="B156">
    <cfRule type="cellIs" dxfId="15" priority="14" operator="greaterThan">
      <formula>60</formula>
    </cfRule>
  </conditionalFormatting>
  <conditionalFormatting sqref="B150">
    <cfRule type="cellIs" dxfId="14" priority="13" operator="greaterThan">
      <formula>60</formula>
    </cfRule>
  </conditionalFormatting>
  <conditionalFormatting sqref="B140">
    <cfRule type="cellIs" dxfId="13" priority="12" operator="greaterThan">
      <formula>60</formula>
    </cfRule>
  </conditionalFormatting>
  <conditionalFormatting sqref="B132">
    <cfRule type="cellIs" dxfId="12" priority="11" operator="greaterThan">
      <formula>60</formula>
    </cfRule>
  </conditionalFormatting>
  <conditionalFormatting sqref="B124">
    <cfRule type="cellIs" dxfId="11" priority="10" operator="greaterThan">
      <formula>60</formula>
    </cfRule>
  </conditionalFormatting>
  <conditionalFormatting sqref="B111">
    <cfRule type="cellIs" dxfId="10" priority="9" operator="greaterThan">
      <formula>60</formula>
    </cfRule>
  </conditionalFormatting>
  <conditionalFormatting sqref="B105">
    <cfRule type="cellIs" dxfId="9" priority="8" operator="greaterThan">
      <formula>60</formula>
    </cfRule>
  </conditionalFormatting>
  <conditionalFormatting sqref="B99">
    <cfRule type="cellIs" dxfId="8" priority="7" operator="greaterThan">
      <formula>60</formula>
    </cfRule>
  </conditionalFormatting>
  <conditionalFormatting sqref="B73">
    <cfRule type="cellIs" dxfId="7" priority="6" operator="greaterThan">
      <formula>60</formula>
    </cfRule>
  </conditionalFormatting>
  <conditionalFormatting sqref="B58">
    <cfRule type="cellIs" dxfId="6" priority="5" operator="greaterThan">
      <formula>60</formula>
    </cfRule>
  </conditionalFormatting>
  <conditionalFormatting sqref="B42">
    <cfRule type="cellIs" dxfId="5" priority="4" operator="greaterThan">
      <formula>60</formula>
    </cfRule>
  </conditionalFormatting>
  <conditionalFormatting sqref="B18">
    <cfRule type="cellIs" dxfId="4" priority="3" operator="greaterThan">
      <formula>60</formula>
    </cfRule>
  </conditionalFormatting>
  <conditionalFormatting sqref="B12">
    <cfRule type="cellIs" dxfId="3" priority="2" operator="greaterThan">
      <formula>60</formula>
    </cfRule>
  </conditionalFormatting>
  <conditionalFormatting sqref="B6">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52:B253 B246:B247 B239:B241 B223:B233 B204:B218 B185:B199 B169:B180 B160:B164 B154:B155 B144:B149 B136:B139 B128:B131 B115:B123 B109:B110 B103:B104 B77:B98 B46:B57 B62:B72 B22:B41 B16:B17 B10:B11 B4:B5" xr:uid="{C0E73E0B-7AD4-4E5E-8E88-79250CA44F5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4 B248 B242 B235 B219 B200 B181 B165 B156 B150 B140 B132 B124 B111 B105 B99 B73 B58 B42 B18 B12 B6" xr:uid="{07A42FE9-2D51-43BB-A537-AA257221CFFE}">
      <formula1>0</formula1>
      <formula2>60</formula2>
    </dataValidation>
    <dataValidation type="list" allowBlank="1" showInputMessage="1" showErrorMessage="1" sqref="A252:A253 A246:A247 A239:A241 B234 A223:A234 A204:A218 A185:A199 A169:A180 A160:A164 A154:A155 A136:A139 A144:A149 A128:A131 A115:A123 A109:A110 A103:A104 A77:A98 A46:A57 A62:A72 A22:A41 A16:A17 A10:A11 A4:A5" xr:uid="{E2FCD746-433E-4DB4-9279-51B435E7CAB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73" fitToHeight="0" orientation="landscape" r:id="rId1"/>
  <headerFooter alignWithMargins="0">
    <oddHeader>&amp;L&amp;"ETML,Normal"&amp;14ETML&amp;R&amp;14&amp;USection Informatique</oddHeader>
    <oddFooter>&amp;L&amp;14&amp;D - GGZ&amp;C&amp;14&amp;F - &amp;A&amp;R&amp;14&amp;P/&amp;N</oddFooter>
  </headerFooter>
  <rowBreaks count="17" manualBreakCount="17">
    <brk id="18" max="16383" man="1"/>
    <brk id="32" max="5" man="1"/>
    <brk id="41" max="5" man="1"/>
    <brk id="58" max="16383" man="1"/>
    <brk id="73" max="16383" man="1"/>
    <brk id="89" max="16383" man="1"/>
    <brk id="99" max="16383" man="1"/>
    <brk id="112" max="16383" man="1"/>
    <brk id="124" max="16383" man="1"/>
    <brk id="140" max="16383" man="1"/>
    <brk id="156" max="16383" man="1"/>
    <brk id="165" max="16383" man="1"/>
    <brk id="181" max="16383" man="1"/>
    <brk id="200" max="16383" man="1"/>
    <brk id="218" max="16383" man="1"/>
    <brk id="235" max="16383" man="1"/>
    <brk id="248" max="16383" man="1"/>
  </rowBreaks>
  <colBreaks count="2" manualBreakCount="2">
    <brk id="2" max="1048575" man="1"/>
    <brk id="3" min="1" max="254" man="1"/>
  </colBreaks>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6"/>
      <c r="B10" s="236"/>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6"/>
      <c r="BF10" s="236"/>
      <c r="BG10" s="236"/>
      <c r="BH10" s="236"/>
      <c r="BI10" s="90"/>
    </row>
    <row r="11" spans="1:61" ht="18" x14ac:dyDescent="0.25">
      <c r="A11" s="237"/>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90"/>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90"/>
    </row>
    <row r="13" spans="1:61" ht="18.75" thickBot="1" x14ac:dyDescent="0.3">
      <c r="A13" s="239" t="s">
        <v>11</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1"/>
      <c r="BI13" s="90"/>
    </row>
    <row r="14" spans="1:61" ht="15.75" thickBot="1" x14ac:dyDescent="0.35">
      <c r="A14" s="103"/>
      <c r="B14" s="104"/>
      <c r="C14" s="104"/>
      <c r="D14" s="104"/>
      <c r="E14" s="242" t="s">
        <v>31</v>
      </c>
      <c r="F14" s="242"/>
      <c r="G14" s="242"/>
      <c r="H14" s="242"/>
      <c r="I14" s="104"/>
      <c r="J14" s="104"/>
      <c r="K14" s="252" t="s">
        <v>21</v>
      </c>
      <c r="L14" s="252"/>
      <c r="M14" s="252"/>
      <c r="N14" s="252"/>
      <c r="O14" s="129"/>
      <c r="P14" s="129"/>
      <c r="Q14" s="242" t="s">
        <v>32</v>
      </c>
      <c r="R14" s="242"/>
      <c r="S14" s="242"/>
      <c r="T14" s="242"/>
      <c r="U14" s="104"/>
      <c r="V14" s="104"/>
      <c r="W14" s="252" t="s">
        <v>22</v>
      </c>
      <c r="X14" s="252"/>
      <c r="Y14" s="252"/>
      <c r="Z14" s="252"/>
      <c r="AA14" s="129"/>
      <c r="AB14" s="129"/>
      <c r="AC14" s="242" t="s">
        <v>33</v>
      </c>
      <c r="AD14" s="242"/>
      <c r="AE14" s="242"/>
      <c r="AF14" s="242"/>
      <c r="AG14" s="104"/>
      <c r="AH14" s="104"/>
      <c r="AI14" s="252" t="s">
        <v>23</v>
      </c>
      <c r="AJ14" s="252"/>
      <c r="AK14" s="252"/>
      <c r="AL14" s="252"/>
      <c r="AM14" s="129"/>
      <c r="AN14" s="129"/>
      <c r="AO14" s="242" t="s">
        <v>34</v>
      </c>
      <c r="AP14" s="242"/>
      <c r="AQ14" s="242"/>
      <c r="AR14" s="242"/>
      <c r="AS14" s="104"/>
      <c r="AT14" s="104"/>
      <c r="AU14" s="252" t="s">
        <v>24</v>
      </c>
      <c r="AV14" s="252"/>
      <c r="AW14" s="252"/>
      <c r="AX14" s="252"/>
      <c r="AY14" s="129"/>
      <c r="AZ14" s="129"/>
      <c r="BA14" s="242" t="s">
        <v>35</v>
      </c>
      <c r="BB14" s="242"/>
      <c r="BC14" s="242"/>
      <c r="BD14" s="24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37</v>
      </c>
      <c r="C2" s="151"/>
      <c r="D2" s="80" t="s">
        <v>12</v>
      </c>
      <c r="E2" s="267" t="s">
        <v>13</v>
      </c>
      <c r="F2" s="26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11" t="s">
        <v>26</v>
      </c>
      <c r="B11" s="84">
        <f>SUM(B3:B10)</f>
        <v>0</v>
      </c>
      <c r="C11" s="111" t="str">
        <f xml:space="preserve"> setValueToTime(B11)</f>
        <v>0h</v>
      </c>
      <c r="D11" s="120"/>
      <c r="E11" s="265"/>
      <c r="F11" s="26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37</v>
      </c>
      <c r="C2" s="160"/>
      <c r="D2" s="78" t="s">
        <v>12</v>
      </c>
      <c r="E2" s="277" t="s">
        <v>13</v>
      </c>
      <c r="F2" s="27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62" t="s">
        <v>26</v>
      </c>
      <c r="B11" s="83">
        <f>SUM(B3:B10)</f>
        <v>0</v>
      </c>
      <c r="C11" s="162" t="str">
        <f xml:space="preserve"> setValueToTime(B11)</f>
        <v>0h</v>
      </c>
      <c r="D11" s="121"/>
      <c r="E11" s="275"/>
      <c r="F11" s="27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7" ma:contentTypeDescription="Crée un document." ma:contentTypeScope="" ma:versionID="40bf3fcd3ec008165df3c5e2192c9b61">
  <xsd:schema xmlns:xsd="http://www.w3.org/2001/XMLSchema" xmlns:xs="http://www.w3.org/2001/XMLSchema" xmlns:p="http://schemas.microsoft.com/office/2006/metadata/properties" xmlns:ns2="bf2f2df3-a963-4452-b0e7-67dabc627c35" xmlns:ns3="http://schemas.microsoft.com/sharepoint/v4" xmlns:ns4="f7d9f5a6-831d-4621-8c77-cbcaf993e406" targetNamespace="http://schemas.microsoft.com/office/2006/metadata/properties" ma:root="true" ma:fieldsID="25069cb2525d2f72d231b92cb04b314b" ns2:_="" ns3:_="" ns4:_="">
    <xsd:import namespace="bf2f2df3-a963-4452-b0e7-67dabc627c35"/>
    <xsd:import namespace="http://schemas.microsoft.com/sharepoint/v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3:IconOverlay" minOccurs="0"/>
                <xsd:element ref="ns4:SharedWithUsers" minOccurs="0"/>
                <xsd:element ref="ns4: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2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Partagé avec détails" ma:internalName="SharedWithDetails" ma:readOnly="true">
      <xsd:simpleType>
        <xsd:restriction base="dms:Note">
          <xsd:maxLength value="255"/>
        </xsd:restriction>
      </xsd:simpleType>
    </xsd:element>
    <xsd:element name="TaxCatchAll" ma:index="24" nillable="true" ma:displayName="Taxonomy Catch All Column" ma:hidden="true" ma:list="{dfc80727-18a8-4b0a-8429-fccc43b630d6}"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415DBBD-3459-4B1A-9ADF-D1FA78D05FB7}">
  <ds:schemaRefs>
    <ds:schemaRef ds:uri="http://schemas.microsoft.com/office/2006/metadata/properties"/>
    <ds:schemaRef ds:uri="http://schemas.microsoft.com/office/infopath/2007/PartnerControls"/>
    <ds:schemaRef ds:uri="http://schemas.microsoft.com/sharepoint/v4"/>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6FD4067A-C85D-4032-8A6A-8A549558ED0E}">
  <ds:schemaRefs>
    <ds:schemaRef ds:uri="http://schemas.microsoft.com/sharepoint/v3/contenttype/forms"/>
  </ds:schemaRefs>
</ds:datastoreItem>
</file>

<file path=customXml/itemProps3.xml><?xml version="1.0" encoding="utf-8"?>
<ds:datastoreItem xmlns:ds="http://schemas.openxmlformats.org/officeDocument/2006/customXml" ds:itemID="{EE9A7E13-D7C9-410D-84C9-E9739C368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http://schemas.microsoft.com/sharepoint/v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Bilan!Impression_des_titres</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2023-05-31T14:23:24Z</cp:lastPrinted>
  <dcterms:created xsi:type="dcterms:W3CDTF">1996-10-21T11:03:58Z</dcterms:created>
  <dcterms:modified xsi:type="dcterms:W3CDTF">2023-06-02T14:23:47Z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